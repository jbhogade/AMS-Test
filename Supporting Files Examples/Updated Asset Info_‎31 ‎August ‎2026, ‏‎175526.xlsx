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spl12-my.sharepoint.com/personal/jairaj_b_ocspl_com/Documents/IT_Jairaj_Backup/Asset Form/"/>
    </mc:Choice>
  </mc:AlternateContent>
  <xr:revisionPtr revIDLastSave="645" documentId="13_ncr:1_{C850B885-7387-4177-B837-C625DEF1B4C2}" xr6:coauthVersionLast="47" xr6:coauthVersionMax="47" xr10:uidLastSave="{0DEF9E0B-645D-467A-9915-4DCA3D87D847}"/>
  <bookViews>
    <workbookView xWindow="-120" yWindow="-120" windowWidth="29040" windowHeight="15720" tabRatio="844" activeTab="1" xr2:uid="{9EB18963-28DB-4B46-99F4-B4159FAF3A25}"/>
  </bookViews>
  <sheets>
    <sheet name="EMP Info" sheetId="12" r:id="rId1"/>
    <sheet name="Laptop &amp; Desktop" sheetId="1" r:id="rId2"/>
    <sheet name="Sheet1" sheetId="13" r:id="rId3"/>
    <sheet name="Printer" sheetId="4" r:id="rId4"/>
    <sheet name="Smart TV &amp; Projector" sheetId="10" r:id="rId5"/>
    <sheet name="Rental Xerox Machine" sheetId="5" r:id="rId6"/>
    <sheet name="CCTV Camera" sheetId="6" r:id="rId7"/>
    <sheet name="Pendrive" sheetId="7" r:id="rId8"/>
    <sheet name="Mobile &amp; Sim Number" sheetId="8" r:id="rId9"/>
    <sheet name="EPABX" sheetId="9" r:id="rId10"/>
  </sheets>
  <definedNames>
    <definedName name="_xlnm._FilterDatabase" localSheetId="0" hidden="1">'EMP Info'!$A$1:$D$1</definedName>
    <definedName name="_xlnm._FilterDatabase" localSheetId="1" hidden="1">'Laptop &amp; Desktop'!$A$1:$U$123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3" i="1" l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D2" i="13"/>
  <c r="D3" i="13"/>
  <c r="G102" i="1"/>
  <c r="G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2" i="1"/>
</calcChain>
</file>

<file path=xl/sharedStrings.xml><?xml version="1.0" encoding="utf-8"?>
<sst xmlns="http://schemas.openxmlformats.org/spreadsheetml/2006/main" count="4116" uniqueCount="1515">
  <si>
    <t>Employee Code</t>
  </si>
  <si>
    <t>Full name</t>
  </si>
  <si>
    <t>Department</t>
  </si>
  <si>
    <t>Designation</t>
  </si>
  <si>
    <t>00005</t>
  </si>
  <si>
    <t>Sandip Nivrutti Jadhav</t>
  </si>
  <si>
    <t>Boiler</t>
  </si>
  <si>
    <t>Jr. Officer</t>
  </si>
  <si>
    <t>00006</t>
  </si>
  <si>
    <t>Pandit Mahadeo Hanjage</t>
  </si>
  <si>
    <t>Production</t>
  </si>
  <si>
    <t>Officer</t>
  </si>
  <si>
    <t>00012</t>
  </si>
  <si>
    <t>Arvind Tanaji Devkar</t>
  </si>
  <si>
    <t>PD Lab</t>
  </si>
  <si>
    <t>00014</t>
  </si>
  <si>
    <t>Prashant Sukhdev Ingle</t>
  </si>
  <si>
    <t>HR</t>
  </si>
  <si>
    <t>HR Associate</t>
  </si>
  <si>
    <t>00015</t>
  </si>
  <si>
    <t>Ulhas Dilip Byale</t>
  </si>
  <si>
    <t>QC &amp; QA</t>
  </si>
  <si>
    <t>Sr. Executive</t>
  </si>
  <si>
    <t>00022</t>
  </si>
  <si>
    <t>Savala Jagannath Kumbhar</t>
  </si>
  <si>
    <t>Electrical</t>
  </si>
  <si>
    <t>Executive</t>
  </si>
  <si>
    <t>00030</t>
  </si>
  <si>
    <t>Ravindra Vitthal Kashid</t>
  </si>
  <si>
    <t>00032</t>
  </si>
  <si>
    <t>Shital Ramchandra Sathe</t>
  </si>
  <si>
    <t>Production Associate</t>
  </si>
  <si>
    <t>00035</t>
  </si>
  <si>
    <t>Krishna Balaprasad Kushwaha</t>
  </si>
  <si>
    <t>00039</t>
  </si>
  <si>
    <t>Shrishail Shantappa Mali</t>
  </si>
  <si>
    <t>Maintenance</t>
  </si>
  <si>
    <t>Jr.Officer</t>
  </si>
  <si>
    <t>00041</t>
  </si>
  <si>
    <t>Arjun Guruling Wale</t>
  </si>
  <si>
    <t>Asst.General Manager</t>
  </si>
  <si>
    <t>00042</t>
  </si>
  <si>
    <t>Amar Dattatray Paul</t>
  </si>
  <si>
    <t>00043</t>
  </si>
  <si>
    <t>Madhukar Balu Kambale</t>
  </si>
  <si>
    <t>Fireman</t>
  </si>
  <si>
    <t>00048</t>
  </si>
  <si>
    <t>Dilip Mahadev Aldar</t>
  </si>
  <si>
    <t>00054</t>
  </si>
  <si>
    <t>Balasaheb Nivrutti Khandeker</t>
  </si>
  <si>
    <t>Maintenance Associate (Mechanical)</t>
  </si>
  <si>
    <t>00056</t>
  </si>
  <si>
    <t>Santosh Madhukar Kavale</t>
  </si>
  <si>
    <t>00057</t>
  </si>
  <si>
    <t>Sandeep Kumar Sonelal Singh</t>
  </si>
  <si>
    <t>00059</t>
  </si>
  <si>
    <t>Vaijinath Hanumant Doke</t>
  </si>
  <si>
    <t>00064</t>
  </si>
  <si>
    <t>Somnath Khushal Mali</t>
  </si>
  <si>
    <t>00068</t>
  </si>
  <si>
    <t>Namdev Navnath Sonne</t>
  </si>
  <si>
    <t>00070</t>
  </si>
  <si>
    <t>Mustajibahmed Jahangir Shaikh</t>
  </si>
  <si>
    <t>00071</t>
  </si>
  <si>
    <t>Vinod Umashankar Nimbalkar</t>
  </si>
  <si>
    <t>Quality Control</t>
  </si>
  <si>
    <t>Senior Manager</t>
  </si>
  <si>
    <t>00074</t>
  </si>
  <si>
    <t>Shakir Isamil Sayyad</t>
  </si>
  <si>
    <t>00075</t>
  </si>
  <si>
    <t>Avinash Vasant Sathe</t>
  </si>
  <si>
    <t>00077</t>
  </si>
  <si>
    <t>Vijayashri Sidramappa Karande</t>
  </si>
  <si>
    <t>Accounts</t>
  </si>
  <si>
    <t>Deputy Manager</t>
  </si>
  <si>
    <t>00086</t>
  </si>
  <si>
    <t>Rakesh Jagdish Kushvah</t>
  </si>
  <si>
    <t>00087</t>
  </si>
  <si>
    <t>Satish Girmal Padasalgi</t>
  </si>
  <si>
    <t>Admin</t>
  </si>
  <si>
    <t>00100</t>
  </si>
  <si>
    <t>Pandurang Kalyan Chougule</t>
  </si>
  <si>
    <t>00101</t>
  </si>
  <si>
    <t>Saudagar Bajirao More</t>
  </si>
  <si>
    <t>00105</t>
  </si>
  <si>
    <t>Shivaji Sugriv Narwade</t>
  </si>
  <si>
    <t>00106</t>
  </si>
  <si>
    <t>Ganesh Vitthal Tadaka</t>
  </si>
  <si>
    <t>00111</t>
  </si>
  <si>
    <t>Ajit Ramchandra Mane</t>
  </si>
  <si>
    <t>00113</t>
  </si>
  <si>
    <t>Vilas Gurunath Birajdar</t>
  </si>
  <si>
    <t>00115</t>
  </si>
  <si>
    <t>Raju Rambilas Tadamali</t>
  </si>
  <si>
    <t>00117</t>
  </si>
  <si>
    <t>Suresh Gurunath Borkar</t>
  </si>
  <si>
    <t>00118</t>
  </si>
  <si>
    <t>Dattatray Ananta Pagade</t>
  </si>
  <si>
    <t>00127</t>
  </si>
  <si>
    <t>Samadhan Rajabhau Patil</t>
  </si>
  <si>
    <t>00131</t>
  </si>
  <si>
    <t>Ram Anand Waghmode</t>
  </si>
  <si>
    <t>Maintenance Associate (Electrical)</t>
  </si>
  <si>
    <t>00134</t>
  </si>
  <si>
    <t>Sandip Namdev Khatal</t>
  </si>
  <si>
    <t>00136</t>
  </si>
  <si>
    <t>Satish Ramdas Reddy</t>
  </si>
  <si>
    <t>00140</t>
  </si>
  <si>
    <t>Mahesh Dhondiba Hanchate</t>
  </si>
  <si>
    <t>Assistant Manager</t>
  </si>
  <si>
    <t>00144</t>
  </si>
  <si>
    <t>Pravinkumar Shankar Patil</t>
  </si>
  <si>
    <t>EHS</t>
  </si>
  <si>
    <t>00159</t>
  </si>
  <si>
    <t>Hanumant Angad Chunge</t>
  </si>
  <si>
    <t>00160</t>
  </si>
  <si>
    <t>Ramchandra Ambadas Waghmare</t>
  </si>
  <si>
    <t>00163</t>
  </si>
  <si>
    <t>Akshay Dashrath Patil</t>
  </si>
  <si>
    <t>00166</t>
  </si>
  <si>
    <t>Anand Shrikant Kanaka</t>
  </si>
  <si>
    <t>00170</t>
  </si>
  <si>
    <t>Sachin Shrikisan Jadhav</t>
  </si>
  <si>
    <t>00171</t>
  </si>
  <si>
    <t>Parshuram Bharat Kokane</t>
  </si>
  <si>
    <t>Utility</t>
  </si>
  <si>
    <t>Utility Associate</t>
  </si>
  <si>
    <t>00173</t>
  </si>
  <si>
    <t>Vishal Vishwanath Dhavan</t>
  </si>
  <si>
    <t>00182</t>
  </si>
  <si>
    <t>Suraj Prakash Shinde</t>
  </si>
  <si>
    <t>Store</t>
  </si>
  <si>
    <t>00185</t>
  </si>
  <si>
    <t>Ratanesh Jayhind Kumar</t>
  </si>
  <si>
    <t>00186</t>
  </si>
  <si>
    <t>Krishnkumar Bhuneshwar Singh</t>
  </si>
  <si>
    <t>00201</t>
  </si>
  <si>
    <t>Shahnawaz Ahmad Nadaf</t>
  </si>
  <si>
    <t>00203</t>
  </si>
  <si>
    <t>Sameer Abdul Kadar Shaikh</t>
  </si>
  <si>
    <t>00205</t>
  </si>
  <si>
    <t>Santosh Devalu Chavan</t>
  </si>
  <si>
    <t>00217</t>
  </si>
  <si>
    <t>Chandrashekhar Shambhu Shah</t>
  </si>
  <si>
    <t>00220</t>
  </si>
  <si>
    <t>Ajay Jayhind Yadav</t>
  </si>
  <si>
    <t>00222</t>
  </si>
  <si>
    <t>Anand Pandharinath Adalinge</t>
  </si>
  <si>
    <t>00224</t>
  </si>
  <si>
    <t>Bandu Shridhar Patil</t>
  </si>
  <si>
    <t>00234</t>
  </si>
  <si>
    <t>Sarjerav Laxman Mane</t>
  </si>
  <si>
    <t>00237</t>
  </si>
  <si>
    <t>Salim Babu Patil</t>
  </si>
  <si>
    <t>00239</t>
  </si>
  <si>
    <t>Prashant Rajkumar Ghogare</t>
  </si>
  <si>
    <t>Technical Services</t>
  </si>
  <si>
    <t>00243</t>
  </si>
  <si>
    <t>Dattatray Ravikiran Harkud</t>
  </si>
  <si>
    <t>SCM</t>
  </si>
  <si>
    <t>00245</t>
  </si>
  <si>
    <t>Balbhim Dadarao Kale</t>
  </si>
  <si>
    <t>00252</t>
  </si>
  <si>
    <t>Johnson Joseph Paul</t>
  </si>
  <si>
    <t>00262</t>
  </si>
  <si>
    <t>Khairul Basar Mollah</t>
  </si>
  <si>
    <t>Manager</t>
  </si>
  <si>
    <t>00263</t>
  </si>
  <si>
    <t>Santosh Singeshwar Barma</t>
  </si>
  <si>
    <t>00272</t>
  </si>
  <si>
    <t>Bharat Nandkumar Gaikwad</t>
  </si>
  <si>
    <t>Forklift Pilot</t>
  </si>
  <si>
    <t>00273</t>
  </si>
  <si>
    <t>Balaji Ganpat Chavan</t>
  </si>
  <si>
    <t>00274</t>
  </si>
  <si>
    <t>Suhas Sunil Sathe</t>
  </si>
  <si>
    <t>00275</t>
  </si>
  <si>
    <t>Mahadev Navnath Kengar</t>
  </si>
  <si>
    <t>Boiler Associate</t>
  </si>
  <si>
    <t>00276</t>
  </si>
  <si>
    <t>Balasaheb Sitaram Shendage</t>
  </si>
  <si>
    <t>00279</t>
  </si>
  <si>
    <t>Akash Mukesh Bandpatte</t>
  </si>
  <si>
    <t>00292</t>
  </si>
  <si>
    <t>Sagar Sadashiv Bhajibhakare</t>
  </si>
  <si>
    <t>00302</t>
  </si>
  <si>
    <t>Pandurang Dagadu Ingale</t>
  </si>
  <si>
    <t>00303</t>
  </si>
  <si>
    <t>Ranjit Sudhakar Patil</t>
  </si>
  <si>
    <t>Data Entry Operator</t>
  </si>
  <si>
    <t>00305</t>
  </si>
  <si>
    <t>Ganesh Shivaji Niture</t>
  </si>
  <si>
    <t>Assistant</t>
  </si>
  <si>
    <t>00307</t>
  </si>
  <si>
    <t>Pramod Sarjerao Shikhare</t>
  </si>
  <si>
    <t>00308</t>
  </si>
  <si>
    <t>Sourabh Subhash Magar</t>
  </si>
  <si>
    <t>00319</t>
  </si>
  <si>
    <t>Nagesh Maruti Pawar</t>
  </si>
  <si>
    <t>Lab Associate</t>
  </si>
  <si>
    <t>00320</t>
  </si>
  <si>
    <t>Surajitsing Panchamsing Raghuvanshi</t>
  </si>
  <si>
    <t>00326</t>
  </si>
  <si>
    <t>Ramesh Hanmant Linbitote</t>
  </si>
  <si>
    <t>00328</t>
  </si>
  <si>
    <t>Sayyad Ieesmaieel Karbhari</t>
  </si>
  <si>
    <t>00330</t>
  </si>
  <si>
    <t>Krushnat Ramdas Ingole</t>
  </si>
  <si>
    <t>00332</t>
  </si>
  <si>
    <t>Pramod Tanaji Koli</t>
  </si>
  <si>
    <t>00339</t>
  </si>
  <si>
    <t>Manik Sarjerao Hasabe</t>
  </si>
  <si>
    <t>Instrument</t>
  </si>
  <si>
    <t>00341</t>
  </si>
  <si>
    <t>Pramod Shrikrishna Bhosale</t>
  </si>
  <si>
    <t>00342</t>
  </si>
  <si>
    <t>Amol Prakash Chaudhari</t>
  </si>
  <si>
    <t>Project</t>
  </si>
  <si>
    <t>00344</t>
  </si>
  <si>
    <t>Vijay Vyankappa Magnur</t>
  </si>
  <si>
    <t>00350</t>
  </si>
  <si>
    <t>Kausar Abdul Rajjak Sayyad</t>
  </si>
  <si>
    <t>General Manager</t>
  </si>
  <si>
    <t>00360</t>
  </si>
  <si>
    <t>Navanath Arjun Shep</t>
  </si>
  <si>
    <t>00361</t>
  </si>
  <si>
    <t>Daulatrao Balasaheb Patil</t>
  </si>
  <si>
    <t>00364</t>
  </si>
  <si>
    <t>Basawaraj Sanjay Swami</t>
  </si>
  <si>
    <t>00365</t>
  </si>
  <si>
    <t>Vikas Kashinath Kale</t>
  </si>
  <si>
    <t>Environment</t>
  </si>
  <si>
    <t>Dy. Manager</t>
  </si>
  <si>
    <t>00366</t>
  </si>
  <si>
    <t>Abdul Afsar Shaikh</t>
  </si>
  <si>
    <t>00370</t>
  </si>
  <si>
    <t>Ajhar Akbar Shaikh</t>
  </si>
  <si>
    <t>00374</t>
  </si>
  <si>
    <t>Pradeep Shrikisan Jadhav</t>
  </si>
  <si>
    <t>00379</t>
  </si>
  <si>
    <t>Yogesh Laxmaiah Ailolla</t>
  </si>
  <si>
    <t>00380</t>
  </si>
  <si>
    <t>Amir Abbasali Pathan</t>
  </si>
  <si>
    <t>00381</t>
  </si>
  <si>
    <t>Adinath Bhojling Sonavane</t>
  </si>
  <si>
    <t>00383</t>
  </si>
  <si>
    <t>Siddeshwar Mahadev More</t>
  </si>
  <si>
    <t>00387</t>
  </si>
  <si>
    <t>Samadhan Kalyan Wabale</t>
  </si>
  <si>
    <t>Quality Assurance</t>
  </si>
  <si>
    <t>00389</t>
  </si>
  <si>
    <t>Amol Shrinivas Adaki</t>
  </si>
  <si>
    <t>00391</t>
  </si>
  <si>
    <t>Mahadev Balu Fand</t>
  </si>
  <si>
    <t>00393</t>
  </si>
  <si>
    <t>Amarnath Suresh Karpe</t>
  </si>
  <si>
    <t>00394</t>
  </si>
  <si>
    <t>Navanath Tukaram Salunkhe</t>
  </si>
  <si>
    <t>Maintenance Associate (Instrument)</t>
  </si>
  <si>
    <t>00398</t>
  </si>
  <si>
    <t>Taufik M Hanif Shaikh</t>
  </si>
  <si>
    <t>00399</t>
  </si>
  <si>
    <t>Sangram Shrikant Dhavane</t>
  </si>
  <si>
    <t>Store Associate</t>
  </si>
  <si>
    <t>00400</t>
  </si>
  <si>
    <t>Tukaram Vitthal Rajmane</t>
  </si>
  <si>
    <t>Tanker Unloader</t>
  </si>
  <si>
    <t>00402</t>
  </si>
  <si>
    <t>Sachin Jyotiram Kusekar</t>
  </si>
  <si>
    <t>00407</t>
  </si>
  <si>
    <t>Vijaykumar Bhimashankar Gurao</t>
  </si>
  <si>
    <t>00413</t>
  </si>
  <si>
    <t>Dipak Tulshiram Tiwarase</t>
  </si>
  <si>
    <t>00414</t>
  </si>
  <si>
    <t>Rahul Sanjivan Kharadkar</t>
  </si>
  <si>
    <t>00418</t>
  </si>
  <si>
    <t>Sudarshan Indrajit Jadhav</t>
  </si>
  <si>
    <t>00422</t>
  </si>
  <si>
    <t>Channappa Sanganna Balundagi</t>
  </si>
  <si>
    <t>00423</t>
  </si>
  <si>
    <t>Shivaji Pandurang Raut</t>
  </si>
  <si>
    <t>00428</t>
  </si>
  <si>
    <t>Shekhar Uttareshwar Madiwal</t>
  </si>
  <si>
    <t>00429</t>
  </si>
  <si>
    <t>Sanket Udaysinh Deshmukh</t>
  </si>
  <si>
    <t>00430</t>
  </si>
  <si>
    <t>Sameer Ansar Sayyad</t>
  </si>
  <si>
    <t>00437</t>
  </si>
  <si>
    <t>Shahir Prabhakar Vadaje</t>
  </si>
  <si>
    <t>00444</t>
  </si>
  <si>
    <t>Rameshwar Baburao Rukke</t>
  </si>
  <si>
    <t>00451</t>
  </si>
  <si>
    <t>Deepak Ravindra Mahajan</t>
  </si>
  <si>
    <t>00453</t>
  </si>
  <si>
    <t>Ravi Balasaheb Maske</t>
  </si>
  <si>
    <t>00454</t>
  </si>
  <si>
    <t>Dipak Sudam Gund</t>
  </si>
  <si>
    <t>DCS Executive</t>
  </si>
  <si>
    <t>00469</t>
  </si>
  <si>
    <t>Shubham Abasaheb Nehul</t>
  </si>
  <si>
    <t>00470</t>
  </si>
  <si>
    <t>Santosh Vilas Shinde</t>
  </si>
  <si>
    <t>00473</t>
  </si>
  <si>
    <t>Bhagyawan Chandrakant Gaikwad</t>
  </si>
  <si>
    <t>00476</t>
  </si>
  <si>
    <t>Dhirajkumar Shivaji Hadule</t>
  </si>
  <si>
    <t>00477</t>
  </si>
  <si>
    <t>Shrinivas Vyankatesh Wakitol</t>
  </si>
  <si>
    <t>00480</t>
  </si>
  <si>
    <t>Vikas Raghunath Yete</t>
  </si>
  <si>
    <t>00486</t>
  </si>
  <si>
    <t>Krishna Kumar Chandrika Yadav</t>
  </si>
  <si>
    <t>00487</t>
  </si>
  <si>
    <t>Pravinsing Onkarsing Pardeshi</t>
  </si>
  <si>
    <t>00489</t>
  </si>
  <si>
    <t>Prathmesh Balkrishna Patil</t>
  </si>
  <si>
    <t>00491</t>
  </si>
  <si>
    <t>Govind Maroti Tate</t>
  </si>
  <si>
    <t>00494</t>
  </si>
  <si>
    <t>Saifan Dadalal Patel</t>
  </si>
  <si>
    <t>00501</t>
  </si>
  <si>
    <t>Bhagavan Vishnu Bhange</t>
  </si>
  <si>
    <t>00502</t>
  </si>
  <si>
    <t>Omkar Rachayya Swami</t>
  </si>
  <si>
    <t>00503</t>
  </si>
  <si>
    <t>Bhushan Ganesh Chaudhari</t>
  </si>
  <si>
    <t>00504</t>
  </si>
  <si>
    <t>Raju Natu Rathod</t>
  </si>
  <si>
    <t>00511</t>
  </si>
  <si>
    <t>Kishor Bhausaheb Hapase</t>
  </si>
  <si>
    <t>00514</t>
  </si>
  <si>
    <t>Sharad Balaji Gaikwad</t>
  </si>
  <si>
    <t>Purchase</t>
  </si>
  <si>
    <t>00516</t>
  </si>
  <si>
    <t>Shivraj Parmeshwar Dahitane</t>
  </si>
  <si>
    <t>00517</t>
  </si>
  <si>
    <t>Ajay Matadeen Kushwaha</t>
  </si>
  <si>
    <t>00520</t>
  </si>
  <si>
    <t>Sunil Bhivaji Bhosale</t>
  </si>
  <si>
    <t>00526</t>
  </si>
  <si>
    <t>Preetamkumar Sunil Abute</t>
  </si>
  <si>
    <t>00529</t>
  </si>
  <si>
    <t>Durgappa Hanamant Pawar</t>
  </si>
  <si>
    <t>00530</t>
  </si>
  <si>
    <t>Pruthviraj Gorakh Jadhav</t>
  </si>
  <si>
    <t>00543</t>
  </si>
  <si>
    <t>Dayanand Rajshekhar Majage</t>
  </si>
  <si>
    <t>00545</t>
  </si>
  <si>
    <t>Anil Arun Satav</t>
  </si>
  <si>
    <t>00549</t>
  </si>
  <si>
    <t>Nandan Madan Kodarkar</t>
  </si>
  <si>
    <t>DCS Officer</t>
  </si>
  <si>
    <t>00556</t>
  </si>
  <si>
    <t>Avinash Kundlik Deokar</t>
  </si>
  <si>
    <t>00559</t>
  </si>
  <si>
    <t>Pintu Dhanu Rathod</t>
  </si>
  <si>
    <t>00561</t>
  </si>
  <si>
    <t>Dhananjay Venkatesh Konda</t>
  </si>
  <si>
    <t>00562</t>
  </si>
  <si>
    <t>Ravi Babasaheb Chandanshive</t>
  </si>
  <si>
    <t>00563</t>
  </si>
  <si>
    <t>Sachin Ramchandra Bansode</t>
  </si>
  <si>
    <t>00565</t>
  </si>
  <si>
    <t>Shrivallabh Vilas Gosavi</t>
  </si>
  <si>
    <t>00566</t>
  </si>
  <si>
    <t>Pankaj Parmeshwar Bagal</t>
  </si>
  <si>
    <t>00567</t>
  </si>
  <si>
    <t>Rohit Shivaji Kamble</t>
  </si>
  <si>
    <t>00576</t>
  </si>
  <si>
    <t>Vishal Meninath Waybhase</t>
  </si>
  <si>
    <t>00578</t>
  </si>
  <si>
    <t>Shubham Bhagwan Sanap</t>
  </si>
  <si>
    <t>00580</t>
  </si>
  <si>
    <t>Sachin Siddharam Konade</t>
  </si>
  <si>
    <t>00586</t>
  </si>
  <si>
    <t>Nitesh Ishwar Mahadik</t>
  </si>
  <si>
    <t>00587</t>
  </si>
  <si>
    <t>Divyaratna Rupchand Dhanwade Mokashi</t>
  </si>
  <si>
    <t>00589</t>
  </si>
  <si>
    <t>Rajkumar Mallikarjun Wagdari</t>
  </si>
  <si>
    <t>00593</t>
  </si>
  <si>
    <t>Dnyaneshwar Prakash Chathe</t>
  </si>
  <si>
    <t>00594</t>
  </si>
  <si>
    <t>Ritesh Satyavijay Chimote</t>
  </si>
  <si>
    <t>00596</t>
  </si>
  <si>
    <t>Rahul Bhima Jadhav</t>
  </si>
  <si>
    <t>00598</t>
  </si>
  <si>
    <t>Tohid Akbar Mulani</t>
  </si>
  <si>
    <t>00599</t>
  </si>
  <si>
    <t>Parmeshwar Nagappa Barse</t>
  </si>
  <si>
    <t>00600</t>
  </si>
  <si>
    <t>Rushikesh Vinod Powar</t>
  </si>
  <si>
    <t>00602</t>
  </si>
  <si>
    <t>Vinayak Shivaji Dorage</t>
  </si>
  <si>
    <t>00603</t>
  </si>
  <si>
    <t>Dattatray Deepak Chavan</t>
  </si>
  <si>
    <t>00604</t>
  </si>
  <si>
    <t>Vinayak Shankar Bagalatti</t>
  </si>
  <si>
    <t>00605</t>
  </si>
  <si>
    <t>Avinash Hanmantu Naik</t>
  </si>
  <si>
    <t>Draftsman</t>
  </si>
  <si>
    <t>00606</t>
  </si>
  <si>
    <t>Parmeshwar Mohan Kumbhar</t>
  </si>
  <si>
    <t>00607</t>
  </si>
  <si>
    <t>Sachin Shivasharan Chhure</t>
  </si>
  <si>
    <t>00609</t>
  </si>
  <si>
    <t>Jairaj Meghraj Bhogade</t>
  </si>
  <si>
    <t>IT</t>
  </si>
  <si>
    <t>00611</t>
  </si>
  <si>
    <t>Pandurang Satish Jadhav</t>
  </si>
  <si>
    <t>00612</t>
  </si>
  <si>
    <t>Vishal Tukaram Gadekar</t>
  </si>
  <si>
    <t>00614</t>
  </si>
  <si>
    <t>Shivaji Ananda Kadam</t>
  </si>
  <si>
    <t>00615</t>
  </si>
  <si>
    <t>Santosh Annarao Birajdar</t>
  </si>
  <si>
    <t>00616</t>
  </si>
  <si>
    <t>Satishkumar Sidramappa Devdurgkar</t>
  </si>
  <si>
    <t>00617</t>
  </si>
  <si>
    <t>Laxmikant Sharanbasappa Kapase</t>
  </si>
  <si>
    <t>00618</t>
  </si>
  <si>
    <t>Vitthal Bharat Gaikwad</t>
  </si>
  <si>
    <t>00620</t>
  </si>
  <si>
    <t>Ganesh Maruti More</t>
  </si>
  <si>
    <t>00621</t>
  </si>
  <si>
    <t>Shivsharan Shivanand Koli</t>
  </si>
  <si>
    <t>00622</t>
  </si>
  <si>
    <t>Hruthik Raju Nigade</t>
  </si>
  <si>
    <t>00623</t>
  </si>
  <si>
    <t>Arvind Dasu Doke</t>
  </si>
  <si>
    <t>00624</t>
  </si>
  <si>
    <t>Vishnu Dinkar Nanaware</t>
  </si>
  <si>
    <t>00625</t>
  </si>
  <si>
    <t>Sachin Tukaram Bodake</t>
  </si>
  <si>
    <t>00626</t>
  </si>
  <si>
    <t>Tushar Dipak Panshetti</t>
  </si>
  <si>
    <t>Technician</t>
  </si>
  <si>
    <t>00627</t>
  </si>
  <si>
    <t>Mustak Javid Mujawar</t>
  </si>
  <si>
    <t>00628</t>
  </si>
  <si>
    <t>Sahil Tamjodin Kazi</t>
  </si>
  <si>
    <t>00629</t>
  </si>
  <si>
    <t>Akshay Ambadas Baddal</t>
  </si>
  <si>
    <t>00630</t>
  </si>
  <si>
    <t>Kannan Ramanathan</t>
  </si>
  <si>
    <t>Operation</t>
  </si>
  <si>
    <t>Sr.Vice President</t>
  </si>
  <si>
    <t>00631</t>
  </si>
  <si>
    <t>Nilesh Ankush Avhad</t>
  </si>
  <si>
    <t>00634</t>
  </si>
  <si>
    <t>Akash Abhimanu Kadam</t>
  </si>
  <si>
    <t>00635</t>
  </si>
  <si>
    <t>Keshav Sunil Wadne</t>
  </si>
  <si>
    <t>00636</t>
  </si>
  <si>
    <t>Sudhakar Shivanand Bamchande</t>
  </si>
  <si>
    <t>00637</t>
  </si>
  <si>
    <t>Kishor Mahadev Patil</t>
  </si>
  <si>
    <t>00638</t>
  </si>
  <si>
    <t>Irfan Pappu Shaikh</t>
  </si>
  <si>
    <t>00639</t>
  </si>
  <si>
    <t>Rahul Bhagwat Dhakane</t>
  </si>
  <si>
    <t>00640</t>
  </si>
  <si>
    <t>Pramod Mahadev Gavhane</t>
  </si>
  <si>
    <t>00641</t>
  </si>
  <si>
    <t>Dipak Santosh Jagtap</t>
  </si>
  <si>
    <t>00642</t>
  </si>
  <si>
    <t>Samir Hamid Mulani</t>
  </si>
  <si>
    <t>00644</t>
  </si>
  <si>
    <t>Prem Parshuram Hole</t>
  </si>
  <si>
    <t>00645</t>
  </si>
  <si>
    <t>Kaushal Bhagwat Gadekar</t>
  </si>
  <si>
    <t>00646</t>
  </si>
  <si>
    <t>Umesh Ramchandra Waichal</t>
  </si>
  <si>
    <t>00647</t>
  </si>
  <si>
    <t>Samir Nabilal Shaikh</t>
  </si>
  <si>
    <t>00648</t>
  </si>
  <si>
    <t>Vishal Ganpat Koli</t>
  </si>
  <si>
    <t>00649</t>
  </si>
  <si>
    <t>Ramhari Sudam Nawale</t>
  </si>
  <si>
    <t>00651</t>
  </si>
  <si>
    <t>Sagar Govardhan Thorat</t>
  </si>
  <si>
    <t>00652</t>
  </si>
  <si>
    <t>Vishvajit Shivdas Nalawade</t>
  </si>
  <si>
    <t>00653</t>
  </si>
  <si>
    <t>Piyush Dhanrajji Kapse</t>
  </si>
  <si>
    <t>00654</t>
  </si>
  <si>
    <t>Kailas Eknath Adhav</t>
  </si>
  <si>
    <t>00655</t>
  </si>
  <si>
    <t>Laxman Hanuman Kardile</t>
  </si>
  <si>
    <t>00656</t>
  </si>
  <si>
    <t>Mahesh Kisan Gadakh</t>
  </si>
  <si>
    <t>00657</t>
  </si>
  <si>
    <t>Laxman Rajendra Raut</t>
  </si>
  <si>
    <t>00658</t>
  </si>
  <si>
    <t>Nagnath Ankush Shinde</t>
  </si>
  <si>
    <t>00659</t>
  </si>
  <si>
    <t>Shaktiprasad Nagnath Jagtap</t>
  </si>
  <si>
    <t>00661</t>
  </si>
  <si>
    <t>Nageshwar Dashrath Pawar</t>
  </si>
  <si>
    <t>00662</t>
  </si>
  <si>
    <t>Ashutosh Dattatray Chaugule</t>
  </si>
  <si>
    <t>00664</t>
  </si>
  <si>
    <t>Vikas Sudhir Masalkar</t>
  </si>
  <si>
    <t>00665</t>
  </si>
  <si>
    <t>Vikas Baburao Kursule</t>
  </si>
  <si>
    <t>00666</t>
  </si>
  <si>
    <t>Ganesh Balasaheb Pol</t>
  </si>
  <si>
    <t>00667</t>
  </si>
  <si>
    <t>Shivanand Shashikant Warang</t>
  </si>
  <si>
    <t>00668</t>
  </si>
  <si>
    <t>Vinayak Kumar Pawar</t>
  </si>
  <si>
    <t>Chemist</t>
  </si>
  <si>
    <t>00669</t>
  </si>
  <si>
    <t>Akshay Sambhaji Thakur</t>
  </si>
  <si>
    <t>00673</t>
  </si>
  <si>
    <t>Arjun Chediram Rajbhar</t>
  </si>
  <si>
    <t>00674</t>
  </si>
  <si>
    <t>Shital Nagnath Sindagi</t>
  </si>
  <si>
    <t>Executive Assistant</t>
  </si>
  <si>
    <t>00676</t>
  </si>
  <si>
    <t>Shivam Pardeep Gawali</t>
  </si>
  <si>
    <t>00677</t>
  </si>
  <si>
    <t>Dipesh Daji Gaikwad</t>
  </si>
  <si>
    <t>00678</t>
  </si>
  <si>
    <t>Tulashiram Shivaji Mote</t>
  </si>
  <si>
    <t>00679</t>
  </si>
  <si>
    <t>Nagesh Sharanappa Gangade</t>
  </si>
  <si>
    <t>00680</t>
  </si>
  <si>
    <t>Amol Balu Darekar</t>
  </si>
  <si>
    <t>00682</t>
  </si>
  <si>
    <t>Aditya Chandrakant Wandhekar</t>
  </si>
  <si>
    <t>00683</t>
  </si>
  <si>
    <t>Shreekant Sambhaji Sawant</t>
  </si>
  <si>
    <t>00684</t>
  </si>
  <si>
    <t>Sharad Hambirao Chaudhari</t>
  </si>
  <si>
    <t>00685</t>
  </si>
  <si>
    <t>Vaibhav Subhash Gandhi</t>
  </si>
  <si>
    <t>00686</t>
  </si>
  <si>
    <t>Nilesh Pandharinath Kasabe</t>
  </si>
  <si>
    <t>00687</t>
  </si>
  <si>
    <t>Pravin Shankar Gund</t>
  </si>
  <si>
    <t>00688</t>
  </si>
  <si>
    <t>Mahesh Laxman Wandhekar</t>
  </si>
  <si>
    <t>00689</t>
  </si>
  <si>
    <t>Vaibhav Vitthal Jagtap</t>
  </si>
  <si>
    <t>00690</t>
  </si>
  <si>
    <t>Shahrukh Siraj Sayyad</t>
  </si>
  <si>
    <t>00692</t>
  </si>
  <si>
    <t>Sahil Pramod Ujgare</t>
  </si>
  <si>
    <t>00693</t>
  </si>
  <si>
    <t>Krishna Jagan Kapure</t>
  </si>
  <si>
    <t>00694</t>
  </si>
  <si>
    <t>Prashant Dattatray Polkat</t>
  </si>
  <si>
    <t>00695</t>
  </si>
  <si>
    <t>Tushar Ramdas Mote</t>
  </si>
  <si>
    <t>00696</t>
  </si>
  <si>
    <t>Mayur Madhukar Shinde</t>
  </si>
  <si>
    <t>00698</t>
  </si>
  <si>
    <t>Rajaram</t>
  </si>
  <si>
    <t>00699</t>
  </si>
  <si>
    <t>Manish Gordhanbhai Tilala</t>
  </si>
  <si>
    <t>00700</t>
  </si>
  <si>
    <t>Onkar Balasaheb Mandhare</t>
  </si>
  <si>
    <t>00701</t>
  </si>
  <si>
    <t>Shivam Subhash Pangarekar</t>
  </si>
  <si>
    <t>00702</t>
  </si>
  <si>
    <t>Yashvant Harishchandra Bandgar</t>
  </si>
  <si>
    <t>00703</t>
  </si>
  <si>
    <t>Akshay Prakash Darkunde</t>
  </si>
  <si>
    <t>00704</t>
  </si>
  <si>
    <t>Rohit Rajendra Yadav</t>
  </si>
  <si>
    <t>00705</t>
  </si>
  <si>
    <t>Aashish Shamrao Mundhe</t>
  </si>
  <si>
    <t>00706</t>
  </si>
  <si>
    <t>Atharv Shriram Adsul</t>
  </si>
  <si>
    <t>00707</t>
  </si>
  <si>
    <t>Jayant Swamirao Salunke</t>
  </si>
  <si>
    <t>00708</t>
  </si>
  <si>
    <t>Prasad Parshuram Chavan</t>
  </si>
  <si>
    <t>00709</t>
  </si>
  <si>
    <t>Prakash Govardhan Zendage</t>
  </si>
  <si>
    <t>00710</t>
  </si>
  <si>
    <t>Bappu Pandurang Gaikwad</t>
  </si>
  <si>
    <t>00711</t>
  </si>
  <si>
    <t>Vinay Santosh Waghmode</t>
  </si>
  <si>
    <t>00712</t>
  </si>
  <si>
    <t>Sanket Dattatray Gavli</t>
  </si>
  <si>
    <t>00713</t>
  </si>
  <si>
    <t>Pravin Sadanand Nakka</t>
  </si>
  <si>
    <t>00714</t>
  </si>
  <si>
    <t>Sushant Popat Masane</t>
  </si>
  <si>
    <t>Asst. Manager</t>
  </si>
  <si>
    <t>00715</t>
  </si>
  <si>
    <t>Niranjan Rajendra Mohite</t>
  </si>
  <si>
    <t>00716</t>
  </si>
  <si>
    <t>Ratan Dadaso Sonavale</t>
  </si>
  <si>
    <t>01027</t>
  </si>
  <si>
    <t>Sachin Chandrakant Padwal</t>
  </si>
  <si>
    <t>00717</t>
  </si>
  <si>
    <t>Shivaraj Ashok Jamunkar</t>
  </si>
  <si>
    <t>00718</t>
  </si>
  <si>
    <t>Pranit Dagadu Kadam</t>
  </si>
  <si>
    <t>00719</t>
  </si>
  <si>
    <t>Eknath Balu Avtade</t>
  </si>
  <si>
    <t>00720</t>
  </si>
  <si>
    <t>Vijay Haridas Pawar</t>
  </si>
  <si>
    <t>00721</t>
  </si>
  <si>
    <t>Sunil Sanjay Chanmal</t>
  </si>
  <si>
    <t>00722</t>
  </si>
  <si>
    <t>Mahesh Siddheshwar Jadhav</t>
  </si>
  <si>
    <t>00723</t>
  </si>
  <si>
    <t>Pravin Shantaram Deshmukh</t>
  </si>
  <si>
    <t>Engineering</t>
  </si>
  <si>
    <t>Assistant Vice President</t>
  </si>
  <si>
    <t>00724</t>
  </si>
  <si>
    <t>Jitendra Balkrushna Navarkar</t>
  </si>
  <si>
    <t>00725</t>
  </si>
  <si>
    <t>Arvind Kumar Rameshwar Prasad</t>
  </si>
  <si>
    <t>00726</t>
  </si>
  <si>
    <t>Vikas Vaman Chavan</t>
  </si>
  <si>
    <t>00727</t>
  </si>
  <si>
    <t>Nikhil Gopal Jadhav</t>
  </si>
  <si>
    <t>00728</t>
  </si>
  <si>
    <t>Parth Shrikant Yadhav</t>
  </si>
  <si>
    <t>00729</t>
  </si>
  <si>
    <t>Ganesh Balasaheb Kashid</t>
  </si>
  <si>
    <t>00730</t>
  </si>
  <si>
    <t>Abhijit Nitin More</t>
  </si>
  <si>
    <t>00731</t>
  </si>
  <si>
    <t>Dilip Kumar Arabole</t>
  </si>
  <si>
    <t>00732</t>
  </si>
  <si>
    <t>Mahesh Eknath Gavali</t>
  </si>
  <si>
    <t>00733</t>
  </si>
  <si>
    <t>Dnyaneshwar Rajendra Chaugule</t>
  </si>
  <si>
    <t>00734</t>
  </si>
  <si>
    <t>Abhishek Mallinath Dhumma</t>
  </si>
  <si>
    <t>00735</t>
  </si>
  <si>
    <t>Yogiraj Arun Kshirsagar</t>
  </si>
  <si>
    <t>00736</t>
  </si>
  <si>
    <t>Parmeshwar Dayanand Birajdar</t>
  </si>
  <si>
    <t>Sr No</t>
  </si>
  <si>
    <t>Asset_Tag</t>
  </si>
  <si>
    <t>Location</t>
  </si>
  <si>
    <t>Asset_Type</t>
  </si>
  <si>
    <t>Labelled</t>
  </si>
  <si>
    <t>Current User Name</t>
  </si>
  <si>
    <t>Current Department</t>
  </si>
  <si>
    <t>Old User Name</t>
  </si>
  <si>
    <t>Old Department</t>
  </si>
  <si>
    <t>Serial No</t>
  </si>
  <si>
    <t>Service Tag No</t>
  </si>
  <si>
    <t>Make</t>
  </si>
  <si>
    <t>Processor</t>
  </si>
  <si>
    <t>Gen</t>
  </si>
  <si>
    <t>Ssd</t>
  </si>
  <si>
    <t>Hdd</t>
  </si>
  <si>
    <t>Ram</t>
  </si>
  <si>
    <t>Os</t>
  </si>
  <si>
    <t>Mac Address</t>
  </si>
  <si>
    <t>DESKTOP-DVUMEE5</t>
  </si>
  <si>
    <t>E18 IT Room</t>
  </si>
  <si>
    <t>Desktop</t>
  </si>
  <si>
    <t>No</t>
  </si>
  <si>
    <t>Weighbridge Server PC</t>
  </si>
  <si>
    <t>Instrumentation</t>
  </si>
  <si>
    <t>-</t>
  </si>
  <si>
    <t>62DVJQ3</t>
  </si>
  <si>
    <t>Dell</t>
  </si>
  <si>
    <t>i5</t>
  </si>
  <si>
    <t>12th</t>
  </si>
  <si>
    <t>256 GB</t>
  </si>
  <si>
    <t>1 TB</t>
  </si>
  <si>
    <t>8 GB</t>
  </si>
  <si>
    <t>Windows 11</t>
  </si>
  <si>
    <t>C0:25:A5:D0:A6:12</t>
  </si>
  <si>
    <t>E17 Office</t>
  </si>
  <si>
    <t>Packing Area</t>
  </si>
  <si>
    <t>Rahul Achugatala</t>
  </si>
  <si>
    <t>9P10JF3</t>
  </si>
  <si>
    <t>i3</t>
  </si>
  <si>
    <t>10th</t>
  </si>
  <si>
    <t>4GB</t>
  </si>
  <si>
    <t>LT02SLHR</t>
  </si>
  <si>
    <t>SL</t>
  </si>
  <si>
    <t>Laptop</t>
  </si>
  <si>
    <t>Yes</t>
  </si>
  <si>
    <t>Spare (Damage)</t>
  </si>
  <si>
    <t>Display issue</t>
  </si>
  <si>
    <t>NO</t>
  </si>
  <si>
    <t>YES</t>
  </si>
  <si>
    <t xml:space="preserve">Anand </t>
  </si>
  <si>
    <t>I5</t>
  </si>
  <si>
    <t>5th</t>
  </si>
  <si>
    <t>1TB</t>
  </si>
  <si>
    <t>D0:53:49:53:49:E9</t>
  </si>
  <si>
    <t>LT03SLPD</t>
  </si>
  <si>
    <t>Spare</t>
  </si>
  <si>
    <t>Ganesh Tadaka</t>
  </si>
  <si>
    <t>DJVT5L2</t>
  </si>
  <si>
    <t>7TH</t>
  </si>
  <si>
    <t>1 Tb</t>
  </si>
  <si>
    <t>8 gb</t>
  </si>
  <si>
    <t>Windows 10 Lic</t>
  </si>
  <si>
    <t>9C:30:5B:DE:D3:CD</t>
  </si>
  <si>
    <t>LT04SLIN</t>
  </si>
  <si>
    <t>CRV0CV2</t>
  </si>
  <si>
    <t>8th</t>
  </si>
  <si>
    <t>Windows 10 Copy</t>
  </si>
  <si>
    <t>C0:B5:D7:72:83:7F</t>
  </si>
  <si>
    <t>LT07SLPS</t>
  </si>
  <si>
    <t>Training Laptop</t>
  </si>
  <si>
    <t>7GRCTJ2</t>
  </si>
  <si>
    <t>DELL</t>
  </si>
  <si>
    <t xml:space="preserve">I3 </t>
  </si>
  <si>
    <t>128GB</t>
  </si>
  <si>
    <t>9C:DA:3E:D5:C2:E4</t>
  </si>
  <si>
    <t>LT08SLTS</t>
  </si>
  <si>
    <t>Prashant Ghogare</t>
  </si>
  <si>
    <t>1LVT5L2</t>
  </si>
  <si>
    <t>500GB</t>
  </si>
  <si>
    <t>8GB</t>
  </si>
  <si>
    <t>9C:30:5B:DE:D3:C1</t>
  </si>
  <si>
    <t>LT09SLPS</t>
  </si>
  <si>
    <t>Tapan Maiti/Pramod Bhosale</t>
  </si>
  <si>
    <t>JLXS5Z2</t>
  </si>
  <si>
    <t>750GB</t>
  </si>
  <si>
    <t>16GB</t>
  </si>
  <si>
    <t>B0:68:E6:BA:A8:C9 (Wi-Fi)</t>
  </si>
  <si>
    <t>D8:D0:90:5B:CC:47 (LAN)</t>
  </si>
  <si>
    <t>LT10SLVP</t>
  </si>
  <si>
    <t>Shrikant Lavate</t>
  </si>
  <si>
    <t>D1M91C2</t>
  </si>
  <si>
    <t>7th</t>
  </si>
  <si>
    <t>68:07:15:55:E2:B3</t>
  </si>
  <si>
    <t>LT12SLSF</t>
  </si>
  <si>
    <t>HSC</t>
  </si>
  <si>
    <t>Vinod Nimbalkar</t>
  </si>
  <si>
    <t>HBQHFD3</t>
  </si>
  <si>
    <t>11th</t>
  </si>
  <si>
    <t>D4:1B:81:C8:D4:93</t>
  </si>
  <si>
    <t>LT13SLPJ</t>
  </si>
  <si>
    <t>Amol Chaudhari</t>
  </si>
  <si>
    <t>8M7ZS93</t>
  </si>
  <si>
    <t>74:12:B3:EC:D4:71</t>
  </si>
  <si>
    <t>LT14SLTS</t>
  </si>
  <si>
    <t>Production Department</t>
  </si>
  <si>
    <t>Ganesh Nigudkar</t>
  </si>
  <si>
    <t>6NFZ763</t>
  </si>
  <si>
    <t>Dell Inspiron 5409</t>
  </si>
  <si>
    <t>i7</t>
  </si>
  <si>
    <t>512 GB</t>
  </si>
  <si>
    <t>5C:BA:EF:EC:14:13</t>
  </si>
  <si>
    <t>LT15SLQC</t>
  </si>
  <si>
    <t>QC</t>
  </si>
  <si>
    <t>Kausar Sayyad</t>
  </si>
  <si>
    <t>31S3SF3</t>
  </si>
  <si>
    <t>500Gb</t>
  </si>
  <si>
    <t>F0:77:C3:D9:27:BD</t>
  </si>
  <si>
    <t>LT16SLPD</t>
  </si>
  <si>
    <t>Arjun Wale</t>
  </si>
  <si>
    <t>G5G70B3</t>
  </si>
  <si>
    <t>E0:2B:E9:50:CC10</t>
  </si>
  <si>
    <t>LT17SLSF</t>
  </si>
  <si>
    <t>Pravinkumar Patil</t>
  </si>
  <si>
    <t>F5G70B3</t>
  </si>
  <si>
    <t>E0:2B:E9:50:CB:D4</t>
  </si>
  <si>
    <t>LT18SLHR</t>
  </si>
  <si>
    <t>Anand Kanaka</t>
  </si>
  <si>
    <t>9GBFR93</t>
  </si>
  <si>
    <t>28:D0:EA:DA:E6:4D</t>
  </si>
  <si>
    <t>LT19SLHR</t>
  </si>
  <si>
    <t>Pramod Bhosale</t>
  </si>
  <si>
    <t>J0S3SF3</t>
  </si>
  <si>
    <t>F0:77:C3:DA:C8:25</t>
  </si>
  <si>
    <t>LT20SLEN</t>
  </si>
  <si>
    <t>CRSKFS3</t>
  </si>
  <si>
    <t>512SSD</t>
  </si>
  <si>
    <t>Windows 11 Lic</t>
  </si>
  <si>
    <t>E0:D0:45:CC:41:D8</t>
  </si>
  <si>
    <t>LT21SLINS</t>
  </si>
  <si>
    <t>Nitin Palkar</t>
  </si>
  <si>
    <t>3937GX3</t>
  </si>
  <si>
    <t>74:3A:F4:77:58:B7</t>
  </si>
  <si>
    <t>LT22SLINS</t>
  </si>
  <si>
    <t>BL37GX3</t>
  </si>
  <si>
    <t>74:3A:F4:77:58:44</t>
  </si>
  <si>
    <t>LT23SLPD</t>
  </si>
  <si>
    <t>5CG2501QGV</t>
  </si>
  <si>
    <t>HP</t>
  </si>
  <si>
    <t>F0:A6:54:B6:E5:23/7C:57:58:85:BC:99</t>
  </si>
  <si>
    <t>LT24SLSC</t>
  </si>
  <si>
    <t>5CG3242KHQ</t>
  </si>
  <si>
    <t>CC:47:40:7D:8C:E7</t>
  </si>
  <si>
    <t>LT25SLMT</t>
  </si>
  <si>
    <t>Yogesh Shinde</t>
  </si>
  <si>
    <t>5CG3242FVK</t>
  </si>
  <si>
    <t>HP 240 G8 Notebook PC (4K5D5PA)</t>
  </si>
  <si>
    <t>CC:47:40:9C:C3:C9</t>
  </si>
  <si>
    <t>LT26SLMT</t>
  </si>
  <si>
    <t>Send to HO</t>
  </si>
  <si>
    <t>Vitthal Thorat</t>
  </si>
  <si>
    <t>5CG3242KB0</t>
  </si>
  <si>
    <t>CC:47:40:7D:8C:CF</t>
  </si>
  <si>
    <t>LT27SLUT</t>
  </si>
  <si>
    <t>Utility &amp; Boiler</t>
  </si>
  <si>
    <t>1N13290K74</t>
  </si>
  <si>
    <t>HP 240 G8 Notebook PC (6B5R4PA)</t>
  </si>
  <si>
    <t>F8:54:F6:02:1C:2F</t>
  </si>
  <si>
    <t>LT28SLPD</t>
  </si>
  <si>
    <t>Somnath Nana Asabe</t>
  </si>
  <si>
    <t>1N13290GZC</t>
  </si>
  <si>
    <t>F8:54:F6:01:A9:E3</t>
  </si>
  <si>
    <t>LT29SLPD</t>
  </si>
  <si>
    <t>1N13290K88</t>
  </si>
  <si>
    <t>F8:54:F6:01:7A:FF</t>
  </si>
  <si>
    <t>LT30SLSF</t>
  </si>
  <si>
    <t>Safety</t>
  </si>
  <si>
    <t>1N13290J3G</t>
  </si>
  <si>
    <t>F8:54:F6:00:A4:C5</t>
  </si>
  <si>
    <t>LT31SLIN</t>
  </si>
  <si>
    <t>1N132506GK</t>
  </si>
  <si>
    <t>HP 240 14 inch G9 Notebook PC (8J0S5PA)</t>
  </si>
  <si>
    <t>CC:47:40:BD:D5:42</t>
  </si>
  <si>
    <t>LT32SLFA</t>
  </si>
  <si>
    <t>5CG33860NX</t>
  </si>
  <si>
    <t>HP 240 14 inch G9 Notebook PC (7M656PA)</t>
  </si>
  <si>
    <t>F8:54:F6:6B:9C:46</t>
  </si>
  <si>
    <t>LT33SLVP</t>
  </si>
  <si>
    <t>CND41022H5</t>
  </si>
  <si>
    <t>HP Envy x360 Laptop 15-fe0032TU (8C4R9PA)</t>
  </si>
  <si>
    <t>13th</t>
  </si>
  <si>
    <t>1TBSSD</t>
  </si>
  <si>
    <t>16 GB</t>
  </si>
  <si>
    <t>4C:5F:70:8C:9F:4C</t>
  </si>
  <si>
    <t>PC03SLEN</t>
  </si>
  <si>
    <t>Khairul Basar</t>
  </si>
  <si>
    <t>B123AC498642</t>
  </si>
  <si>
    <t>Assembled</t>
  </si>
  <si>
    <t xml:space="preserve">i3 </t>
  </si>
  <si>
    <t>3rd</t>
  </si>
  <si>
    <t>512GB</t>
  </si>
  <si>
    <t>6GB</t>
  </si>
  <si>
    <t xml:space="preserve">Windows 10 </t>
  </si>
  <si>
    <t>10:78:D2:54:26:DC</t>
  </si>
  <si>
    <t>PC04SLEN</t>
  </si>
  <si>
    <t>Sandip Mali</t>
  </si>
  <si>
    <t>NA</t>
  </si>
  <si>
    <t>9th</t>
  </si>
  <si>
    <t>Windows 10</t>
  </si>
  <si>
    <t>00:D8:61:BF:DB:11</t>
  </si>
  <si>
    <t>PC06SLEN</t>
  </si>
  <si>
    <t>E17 Main Gate</t>
  </si>
  <si>
    <t>Security</t>
  </si>
  <si>
    <t>Akshay Baddal</t>
  </si>
  <si>
    <t>Dual Core</t>
  </si>
  <si>
    <t>2GB</t>
  </si>
  <si>
    <t>Windows 7</t>
  </si>
  <si>
    <t>00:E0:53:40:1F:52</t>
  </si>
  <si>
    <t>PC07SLFA</t>
  </si>
  <si>
    <t>E16 Account Office</t>
  </si>
  <si>
    <t>Account</t>
  </si>
  <si>
    <t>Jayshree Karande</t>
  </si>
  <si>
    <t>Hcl</t>
  </si>
  <si>
    <t>500 GB</t>
  </si>
  <si>
    <t>4 GB</t>
  </si>
  <si>
    <t>Windows 10 Enter</t>
  </si>
  <si>
    <t>1C:87:2C:44:E6:A7</t>
  </si>
  <si>
    <t>PC08SLFA</t>
  </si>
  <si>
    <t>Audit (E16 Account)</t>
  </si>
  <si>
    <t xml:space="preserve">Mahesh Hunchate </t>
  </si>
  <si>
    <t>40:8D:5C:A1:0D:2E</t>
  </si>
  <si>
    <t>PC09SLFA</t>
  </si>
  <si>
    <t>Account Officer</t>
  </si>
  <si>
    <t>Account Stock</t>
  </si>
  <si>
    <t>B123AC498591</t>
  </si>
  <si>
    <t>6 GB</t>
  </si>
  <si>
    <t>10:78:D2:54:34:36</t>
  </si>
  <si>
    <t>PC10SLHR</t>
  </si>
  <si>
    <t>E18 Hr/Admin Office</t>
  </si>
  <si>
    <t>Dhiraj Mane</t>
  </si>
  <si>
    <t>Sugriv Yadav</t>
  </si>
  <si>
    <t>Hr &amp; Admin</t>
  </si>
  <si>
    <t>B123AC498582</t>
  </si>
  <si>
    <t>10:78:D2:54:26:E4</t>
  </si>
  <si>
    <t>PC11SLHR</t>
  </si>
  <si>
    <t>E18 Main Gate</t>
  </si>
  <si>
    <t>Kedar Upase</t>
  </si>
  <si>
    <t>Intel Pentium</t>
  </si>
  <si>
    <t>1C:87:2C:46:B8:9F</t>
  </si>
  <si>
    <t>PC13SLMT</t>
  </si>
  <si>
    <t>Maintenance Staff</t>
  </si>
  <si>
    <t>B123AC498623</t>
  </si>
  <si>
    <t>2 GB</t>
  </si>
  <si>
    <t>10:78:D2:54:26:D0</t>
  </si>
  <si>
    <t>PC15SLPD</t>
  </si>
  <si>
    <t>E17 Prodution Office</t>
  </si>
  <si>
    <t>Shift Officer</t>
  </si>
  <si>
    <t xml:space="preserve">Arjun Wale </t>
  </si>
  <si>
    <t>00:D8:61:BF:DA:09</t>
  </si>
  <si>
    <t>PC16SLPD</t>
  </si>
  <si>
    <t>Ganesh Niture</t>
  </si>
  <si>
    <t>04:92:26:CF:32:B7</t>
  </si>
  <si>
    <t>PC95SLST</t>
  </si>
  <si>
    <t>Store Eng</t>
  </si>
  <si>
    <t>4th</t>
  </si>
  <si>
    <t>D0:17:C2:93:69:6E</t>
  </si>
  <si>
    <t>PC94SLPD</t>
  </si>
  <si>
    <t>PLC Room</t>
  </si>
  <si>
    <t>00:E0:0C:0F:32:70</t>
  </si>
  <si>
    <t>PC19SLPD</t>
  </si>
  <si>
    <t xml:space="preserve">Sachin Jadhav </t>
  </si>
  <si>
    <t>04:92:26:CF:3B:76</t>
  </si>
  <si>
    <t>PC20SLPR</t>
  </si>
  <si>
    <t>Purchases</t>
  </si>
  <si>
    <t>6th</t>
  </si>
  <si>
    <t>B0:6E:BF:2A:D6:3D</t>
  </si>
  <si>
    <t>PC21SLPR</t>
  </si>
  <si>
    <t>6DCWXM3</t>
  </si>
  <si>
    <t>74:86:E2:14:2D:93</t>
  </si>
  <si>
    <t>PC22SLPS</t>
  </si>
  <si>
    <t>E18 PD Lab</t>
  </si>
  <si>
    <t>E16 Instrumentation</t>
  </si>
  <si>
    <t>Process</t>
  </si>
  <si>
    <t>0C:9D:92:13:12:DF</t>
  </si>
  <si>
    <t>1C:61:B4:BE:E7:12</t>
  </si>
  <si>
    <t>PC25SLQC</t>
  </si>
  <si>
    <t>E18 Qa / Qc</t>
  </si>
  <si>
    <t>Qc</t>
  </si>
  <si>
    <t>Desktop-74vfbqc</t>
  </si>
  <si>
    <t>4C:ED:FB:97:54:3B</t>
  </si>
  <si>
    <t>PC27SLQC</t>
  </si>
  <si>
    <t xml:space="preserve">NA </t>
  </si>
  <si>
    <t>Windows 7 Copy</t>
  </si>
  <si>
    <t>9C:5C:0E:83:E4:D2</t>
  </si>
  <si>
    <t>PC28SLQC</t>
  </si>
  <si>
    <t>GC</t>
  </si>
  <si>
    <t>4CE309BR51</t>
  </si>
  <si>
    <t>Hp</t>
  </si>
  <si>
    <t>7C:57:58:C3:E1:35</t>
  </si>
  <si>
    <t>9C:53:22:6A:40:B3</t>
  </si>
  <si>
    <t>PC30SLQC</t>
  </si>
  <si>
    <t>00:E0:4C:68:00:49</t>
  </si>
  <si>
    <t>74:27:EA:D6:D7:EE</t>
  </si>
  <si>
    <t>PC35SLSF</t>
  </si>
  <si>
    <t>Safety (EHS)</t>
  </si>
  <si>
    <t>Mukesh Pagar</t>
  </si>
  <si>
    <t>6123AA395233</t>
  </si>
  <si>
    <t>2nd</t>
  </si>
  <si>
    <t>10:78:D2:46:A4:33</t>
  </si>
  <si>
    <t>PC36SLSF</t>
  </si>
  <si>
    <t>E16 Ohc Office</t>
  </si>
  <si>
    <t>Abhijeet Deshpande</t>
  </si>
  <si>
    <t>OHC</t>
  </si>
  <si>
    <t>PENTIUM</t>
  </si>
  <si>
    <t>N/A</t>
  </si>
  <si>
    <t>D0:17:C2:94:FB:FB</t>
  </si>
  <si>
    <t>PC37SLST</t>
  </si>
  <si>
    <t>E16 Store</t>
  </si>
  <si>
    <t>Suraj Shinde</t>
  </si>
  <si>
    <t>Stores - Eng</t>
  </si>
  <si>
    <t>12GB</t>
  </si>
  <si>
    <t>60:45:CB:80:DA:DB</t>
  </si>
  <si>
    <t>PC40SLUT</t>
  </si>
  <si>
    <t>E18 Security Gate</t>
  </si>
  <si>
    <t>Umesh Waichal</t>
  </si>
  <si>
    <t>B123AC498614</t>
  </si>
  <si>
    <t>HCL</t>
  </si>
  <si>
    <t>Windows 7 Pro</t>
  </si>
  <si>
    <t>10:78:D2:54:26:F5</t>
  </si>
  <si>
    <t>PC41SLVP</t>
  </si>
  <si>
    <t>Pooja Ponde</t>
  </si>
  <si>
    <t>P.A.</t>
  </si>
  <si>
    <t>04:92:26:CF:39:54</t>
  </si>
  <si>
    <t>PC43SLPD</t>
  </si>
  <si>
    <t>E22 Office</t>
  </si>
  <si>
    <t>Siddhesh More</t>
  </si>
  <si>
    <t>BQGM583</t>
  </si>
  <si>
    <t>A4:BB:6D:DE:BB:26</t>
  </si>
  <si>
    <t>PC44SLEN</t>
  </si>
  <si>
    <t>Utkarsh Tiwari</t>
  </si>
  <si>
    <t>DWT8WC3</t>
  </si>
  <si>
    <t>1C:99:57:BC:B6:4b</t>
  </si>
  <si>
    <t>PC45SLIT</t>
  </si>
  <si>
    <t>E22 Security Gate</t>
  </si>
  <si>
    <t>Sandesh Khadde</t>
  </si>
  <si>
    <t>It</t>
  </si>
  <si>
    <t>HST8WC3</t>
  </si>
  <si>
    <t>‎B0:7B:25:0D:DC:DA</t>
  </si>
  <si>
    <t>PC46SLSC</t>
  </si>
  <si>
    <t>E16 Security Gate</t>
  </si>
  <si>
    <t>Security Officer</t>
  </si>
  <si>
    <t>Main Gate Security E 16</t>
  </si>
  <si>
    <t>40:B0:76:61:BF:69</t>
  </si>
  <si>
    <t>PC48SLQC</t>
  </si>
  <si>
    <t>H2RT9D3</t>
  </si>
  <si>
    <t>B0:7B:25:19:53:80</t>
  </si>
  <si>
    <t>PC50SLIN</t>
  </si>
  <si>
    <t>E17 Dcs Office</t>
  </si>
  <si>
    <t>CS10JF3</t>
  </si>
  <si>
    <t>B0:7B:25:1B:0F:98</t>
  </si>
  <si>
    <t>PC51SLQC</t>
  </si>
  <si>
    <t>Shakir Sayyad</t>
  </si>
  <si>
    <t>00:E0:0C:14:14:BA</t>
  </si>
  <si>
    <t>PC53SLQC</t>
  </si>
  <si>
    <t>00:E0:4C:F5:06:48</t>
  </si>
  <si>
    <t>PC54SLST</t>
  </si>
  <si>
    <t>E16 Rm Store</t>
  </si>
  <si>
    <t>Raw Store</t>
  </si>
  <si>
    <t>Toufiq Shaikh</t>
  </si>
  <si>
    <t>5M1FRJ3</t>
  </si>
  <si>
    <t>C0:25:A5:81:60:37</t>
  </si>
  <si>
    <t>PC55SLSF</t>
  </si>
  <si>
    <t>APreetamkumar Sunil Abute</t>
  </si>
  <si>
    <t>4J1FRJ3</t>
  </si>
  <si>
    <t>C0:25:A5:81:5C:F0</t>
  </si>
  <si>
    <t>PC56SLQC</t>
  </si>
  <si>
    <t>Hplc</t>
  </si>
  <si>
    <t>7JNN6L3</t>
  </si>
  <si>
    <t>90:8D:6E:5F:B1:0F</t>
  </si>
  <si>
    <t>PC58SLST</t>
  </si>
  <si>
    <t>Balasaheb Shendge</t>
  </si>
  <si>
    <t>Store Rm</t>
  </si>
  <si>
    <t>2FCWXM3</t>
  </si>
  <si>
    <t>74:86:E2:14:30:B1</t>
  </si>
  <si>
    <t>PC60SLPJ</t>
  </si>
  <si>
    <t>E17 Production Control Room</t>
  </si>
  <si>
    <t>Vaibhav Bhosale</t>
  </si>
  <si>
    <t>FDCWXM3</t>
  </si>
  <si>
    <t>256GB</t>
  </si>
  <si>
    <t>CC:96:E5:43:45:BE</t>
  </si>
  <si>
    <t>PC61SLQA</t>
  </si>
  <si>
    <t>Samadhan Wable</t>
  </si>
  <si>
    <t>Qa</t>
  </si>
  <si>
    <t>8DCWXM3</t>
  </si>
  <si>
    <t>74:86:E2:14:30:13</t>
  </si>
  <si>
    <t>PC62SLPR</t>
  </si>
  <si>
    <t>3NDWXM3</t>
  </si>
  <si>
    <t>B0:7B:25:25:B3:29</t>
  </si>
  <si>
    <t>PC63SLEL</t>
  </si>
  <si>
    <t>Savala Kumbhar</t>
  </si>
  <si>
    <t>6NDWXM3</t>
  </si>
  <si>
    <t>74:86:E2:14:26:B7</t>
  </si>
  <si>
    <t>PC64SLPR</t>
  </si>
  <si>
    <t>Samadhan Dhoke</t>
  </si>
  <si>
    <t>Purchase Dept</t>
  </si>
  <si>
    <t>43Y5GR3</t>
  </si>
  <si>
    <t>C0:25:A5:D0:FC:B3</t>
  </si>
  <si>
    <t>PC65SLFA</t>
  </si>
  <si>
    <t>E16 Account</t>
  </si>
  <si>
    <t>Shriniwas Wakitol</t>
  </si>
  <si>
    <t>Finance And Accounts</t>
  </si>
  <si>
    <t>84Y5GR3</t>
  </si>
  <si>
    <t>C0:25:A5:D0:FC:A8</t>
  </si>
  <si>
    <t>PC66SLMT</t>
  </si>
  <si>
    <t>Vijaykumar Gurav</t>
  </si>
  <si>
    <t>57512S3</t>
  </si>
  <si>
    <t>00:BE:43:D6:B1:50</t>
  </si>
  <si>
    <t>PC67SLPD</t>
  </si>
  <si>
    <t>DCS</t>
  </si>
  <si>
    <t>Dcs</t>
  </si>
  <si>
    <t>Sachin Jadhav</t>
  </si>
  <si>
    <t>F6512S3</t>
  </si>
  <si>
    <t>00:BE:43:D3:C9:32</t>
  </si>
  <si>
    <t>PC73SLQC</t>
  </si>
  <si>
    <t>HPLC</t>
  </si>
  <si>
    <t>53112S3</t>
  </si>
  <si>
    <t xml:space="preserve">i5 </t>
  </si>
  <si>
    <t>00:BE:43:B7:A7:A1</t>
  </si>
  <si>
    <t>28:87:BA:6C:2B:B3</t>
  </si>
  <si>
    <t>PC74SLQC</t>
  </si>
  <si>
    <t>Gc09 Machine</t>
  </si>
  <si>
    <t>43112S3</t>
  </si>
  <si>
    <t>Windows  10 Lic</t>
  </si>
  <si>
    <t>00:BE:43:B7:AB:9B</t>
  </si>
  <si>
    <t>7C:C2:C6:1C:02:00</t>
  </si>
  <si>
    <t>PC75SLAD</t>
  </si>
  <si>
    <t>B1P0SR3</t>
  </si>
  <si>
    <t>00:BE:43:B7:54:EB</t>
  </si>
  <si>
    <t>PC75SLHR</t>
  </si>
  <si>
    <t>E18 Admin</t>
  </si>
  <si>
    <t>Raju Rathod</t>
  </si>
  <si>
    <t>C0P0SR3</t>
  </si>
  <si>
    <t>00:BE:43:B7:51:C5</t>
  </si>
  <si>
    <t>50:C2:E8:AB:6E:BD</t>
  </si>
  <si>
    <t>PC77SLST</t>
  </si>
  <si>
    <t>Abhishekh Powar</t>
  </si>
  <si>
    <t>23P0SR3</t>
  </si>
  <si>
    <t>00:BE:43:B7:5F:88</t>
  </si>
  <si>
    <t>PC78SLQC</t>
  </si>
  <si>
    <t>GC Machine</t>
  </si>
  <si>
    <t>Gc Machine Vinod Nimbalkar</t>
  </si>
  <si>
    <t>16VRPT3</t>
  </si>
  <si>
    <t>CC:96:E5:07:CD:09</t>
  </si>
  <si>
    <t>PC79SLPJ</t>
  </si>
  <si>
    <t>Audit Officer</t>
  </si>
  <si>
    <t>Chandrakant Kamble</t>
  </si>
  <si>
    <t xml:space="preserve">Project </t>
  </si>
  <si>
    <t>FYV0MQ3</t>
  </si>
  <si>
    <t>C0:25:A5:D0:A6:FB</t>
  </si>
  <si>
    <t>PC81SLSF</t>
  </si>
  <si>
    <t>ETP</t>
  </si>
  <si>
    <t>Shrivallabh Gosavi</t>
  </si>
  <si>
    <t>Etp Dept</t>
  </si>
  <si>
    <t>G0P0SR3</t>
  </si>
  <si>
    <t>50:C2:E8:AB:6E:79</t>
  </si>
  <si>
    <t>PC83ALIN</t>
  </si>
  <si>
    <t>D3Y5GR3</t>
  </si>
  <si>
    <t>C0:25:A5:D0:A5:E5</t>
  </si>
  <si>
    <t>PC84SLQC</t>
  </si>
  <si>
    <t>CR4F824</t>
  </si>
  <si>
    <t>20:88:10:9C:B6:1B</t>
  </si>
  <si>
    <t>PC85SLQC</t>
  </si>
  <si>
    <t>5S4F824</t>
  </si>
  <si>
    <t>20:88:10:9C:B6:9B</t>
  </si>
  <si>
    <t>PC86SLQC</t>
  </si>
  <si>
    <t>FS4F824</t>
  </si>
  <si>
    <t>20:88:10:9C:B8:23</t>
  </si>
  <si>
    <t>PC87SLQC</t>
  </si>
  <si>
    <t>1N135101KJ</t>
  </si>
  <si>
    <t>Hp Pro Tower 280 G9 Pci Desktop Pc</t>
  </si>
  <si>
    <t>BC:0F:F3:C2:F9:5F</t>
  </si>
  <si>
    <t>PC88SLSF</t>
  </si>
  <si>
    <t>Etp</t>
  </si>
  <si>
    <t>ETP (Sandeep Khatal)</t>
  </si>
  <si>
    <t>ETP (Qc)</t>
  </si>
  <si>
    <t>B123AC49875D</t>
  </si>
  <si>
    <t>10:78:D2:54:25:8C</t>
  </si>
  <si>
    <t>PC89SLQC</t>
  </si>
  <si>
    <t>HP (HP Z2 Workstation)</t>
  </si>
  <si>
    <t>14th</t>
  </si>
  <si>
    <t>1+1 TB</t>
  </si>
  <si>
    <t>2C:58:B9:18:82:B7</t>
  </si>
  <si>
    <t>A8:6E:84:0B:86:E6</t>
  </si>
  <si>
    <t>LT35SLTS</t>
  </si>
  <si>
    <t>5CG4243T9F</t>
  </si>
  <si>
    <t>HP HP 240 14 inch G9 Notebook PC (9H225PT)</t>
  </si>
  <si>
    <t>28:D0:43:09:3F:40 (Wi-Fi)</t>
  </si>
  <si>
    <t>30:13:8B:F0:DF:8B (LAN)</t>
  </si>
  <si>
    <t>LT11SLVP</t>
  </si>
  <si>
    <t>Biswajit Bhattacharya OLD VP SIR</t>
  </si>
  <si>
    <t>BFXX173</t>
  </si>
  <si>
    <t>DELL XPS 13 7390</t>
  </si>
  <si>
    <t>LT36SLPD</t>
  </si>
  <si>
    <t>5CG4350FCY</t>
  </si>
  <si>
    <t>HP 240R G9 Notebook PC (B10MRAT)</t>
  </si>
  <si>
    <t>28:D0:43:F8:EF:FA (Wi-Fi)</t>
  </si>
  <si>
    <t>24:6A:0E:6C:23:18 (LAN)</t>
  </si>
  <si>
    <t>LT37SLPD</t>
  </si>
  <si>
    <t>5CG43837TB</t>
  </si>
  <si>
    <t>C0:BF:BE:8C:17:1A (Wi-Fi)</t>
  </si>
  <si>
    <t>6C:0B:5E:4F:85:0D (LAN)</t>
  </si>
  <si>
    <t>PC90SLHR</t>
  </si>
  <si>
    <t>E17 Canteen</t>
  </si>
  <si>
    <t>Canteen</t>
  </si>
  <si>
    <t>PC91SLSF</t>
  </si>
  <si>
    <t>PC92SLOP</t>
  </si>
  <si>
    <t>E17</t>
  </si>
  <si>
    <t>34:5A:60:AC:EE:12 (LAN)</t>
  </si>
  <si>
    <t>PC93SLQC</t>
  </si>
  <si>
    <t>QC Lab</t>
  </si>
  <si>
    <t>4CE451CPFX</t>
  </si>
  <si>
    <t>HP Z2 Tower G9 Workstation Desktop PC</t>
  </si>
  <si>
    <t>6C:0B:5E:4B:2B:7D (LAN 1)</t>
  </si>
  <si>
    <t>00:E0:4C:68:09:44 (LAN 2)</t>
  </si>
  <si>
    <t>A1ZY1PT#ACJ</t>
  </si>
  <si>
    <t>LT39SLVP</t>
  </si>
  <si>
    <t>PC18SLPD</t>
  </si>
  <si>
    <t>E18</t>
  </si>
  <si>
    <t>PC17SLPD</t>
  </si>
  <si>
    <t>LT38SLPD</t>
  </si>
  <si>
    <t>HP ProBook 440 14 inch G10 Notebook PC</t>
  </si>
  <si>
    <t>Windows 11 Pro Lic</t>
  </si>
  <si>
    <t>94:B6:09:DB:F6:32 (Wi-Fi)</t>
  </si>
  <si>
    <t>10:B6:76:80:B6:CD (LAN)</t>
  </si>
  <si>
    <t>LT40SLHR</t>
  </si>
  <si>
    <t>5CG5093CFZ</t>
  </si>
  <si>
    <t>HP240 G10 Notepad PC (78H73AV)</t>
  </si>
  <si>
    <t>A8:E2:91:7A:54:34 (Wi-Fi)</t>
  </si>
  <si>
    <t>PC96SLHR</t>
  </si>
  <si>
    <t>34:5A:60:EA:81:B5 (LAN)</t>
  </si>
  <si>
    <t>PC97SLMT</t>
  </si>
  <si>
    <t>34:5A:60:EA:81:B9 (LAN)</t>
  </si>
  <si>
    <t>PC98SLMT</t>
  </si>
  <si>
    <t>PC99SLPD</t>
  </si>
  <si>
    <t>34:5A:60:EA:97:6A (LAN)</t>
  </si>
  <si>
    <t>PC100SLPD</t>
  </si>
  <si>
    <t>PC101SLHR</t>
  </si>
  <si>
    <t>34:5A:60:EA:81:AA (LAN)</t>
  </si>
  <si>
    <t>PC103SLQC</t>
  </si>
  <si>
    <t>Gc Machine</t>
  </si>
  <si>
    <t>4ce525dng1</t>
  </si>
  <si>
    <t>HP Workstation Z2 G1i</t>
  </si>
  <si>
    <t>U7</t>
  </si>
  <si>
    <t>2 TB</t>
  </si>
  <si>
    <t>PC104SLQC</t>
  </si>
  <si>
    <t>4ce525dng2</t>
  </si>
  <si>
    <t>9C:B1:50:F9:AF:B5 (Wi-Fi)</t>
  </si>
  <si>
    <t>Asset</t>
  </si>
  <si>
    <t>Qty</t>
  </si>
  <si>
    <t>Damage</t>
  </si>
  <si>
    <t>Working</t>
  </si>
  <si>
    <t>New</t>
  </si>
  <si>
    <t>Sr. No</t>
  </si>
  <si>
    <t>Asset Tag</t>
  </si>
  <si>
    <t>User</t>
  </si>
  <si>
    <t>Model</t>
  </si>
  <si>
    <t>IP Address</t>
  </si>
  <si>
    <t>Black</t>
  </si>
  <si>
    <t>QC Lab GC</t>
  </si>
  <si>
    <t>CNBRQ3X6YY</t>
  </si>
  <si>
    <t>HP LaserJet Pro MFP M128fn</t>
  </si>
  <si>
    <t>192.168.0.30</t>
  </si>
  <si>
    <t>E16 Security</t>
  </si>
  <si>
    <t>Canon</t>
  </si>
  <si>
    <t>Canon LBP 2900B</t>
  </si>
  <si>
    <t>PT06SLPD</t>
  </si>
  <si>
    <t>E17 Production Office</t>
  </si>
  <si>
    <t>CNBRQ3X75M</t>
  </si>
  <si>
    <t>192.168.0.148</t>
  </si>
  <si>
    <t>E18 Security</t>
  </si>
  <si>
    <t>CNBRQ9R9Y6</t>
  </si>
  <si>
    <t>192.168.0.251</t>
  </si>
  <si>
    <t>E22 Security</t>
  </si>
  <si>
    <t>E22 Boiler Office</t>
  </si>
  <si>
    <t>CNBRQ2S26B</t>
  </si>
  <si>
    <t>Color Printer</t>
  </si>
  <si>
    <t>E17 DCS Control Room</t>
  </si>
  <si>
    <t>HP COLOR LASERJET PRO M453-4</t>
  </si>
  <si>
    <t>Chandrakanat Anuse</t>
  </si>
  <si>
    <t>XAHT404772</t>
  </si>
  <si>
    <t>EPSON</t>
  </si>
  <si>
    <t>EPSON L3250 Multi-Function Inkjet Printer</t>
  </si>
  <si>
    <t>192.168.0.163</t>
  </si>
  <si>
    <t>PT05SLTS</t>
  </si>
  <si>
    <t>Sachin Padwal</t>
  </si>
  <si>
    <t>CNBKMDS8RD</t>
  </si>
  <si>
    <t>PT04SLFA</t>
  </si>
  <si>
    <t>CNBKMCCC79</t>
  </si>
  <si>
    <t>192.168.0.253</t>
  </si>
  <si>
    <t>PT11SLHR</t>
  </si>
  <si>
    <t>XSEP347651</t>
  </si>
  <si>
    <t>EPSON L3150 Multi-Function Inkjet Printer</t>
  </si>
  <si>
    <t>PT12SLQC</t>
  </si>
  <si>
    <t>Kausar Sayyed</t>
  </si>
  <si>
    <t>KMST01134</t>
  </si>
  <si>
    <t>Canon PIXMA GM4070 IN [3111C018AC]</t>
  </si>
  <si>
    <t>PT10SLVP</t>
  </si>
  <si>
    <t>KMYG55437</t>
  </si>
  <si>
    <t>Canon PIXMA G3010 IN [2315C018AB]</t>
  </si>
  <si>
    <t>KMST01108</t>
  </si>
  <si>
    <t xml:space="preserve">Electric </t>
  </si>
  <si>
    <t>E73793D2N859582</t>
  </si>
  <si>
    <t>Bhother</t>
  </si>
  <si>
    <t>Brother HL-L2320D</t>
  </si>
  <si>
    <t>PT12SLST</t>
  </si>
  <si>
    <t>Balasaheb Shendage</t>
  </si>
  <si>
    <t>CNBKM9X19J</t>
  </si>
  <si>
    <t>192.168.0.254</t>
  </si>
  <si>
    <t>PT14SLPD</t>
  </si>
  <si>
    <t>CNC1T1D0YX</t>
  </si>
  <si>
    <t>HP Laser MFP 1188fnw</t>
  </si>
  <si>
    <t>192.168.0.236</t>
  </si>
  <si>
    <t>PT18SLEN</t>
  </si>
  <si>
    <t>sl</t>
  </si>
  <si>
    <t>Model Name</t>
  </si>
  <si>
    <t>Serial Number</t>
  </si>
  <si>
    <t>Mac ID</t>
  </si>
  <si>
    <t>Panasonic</t>
  </si>
  <si>
    <t>0000A877E50E81A9</t>
  </si>
  <si>
    <t>A8:77:E5:59:DF:FC</t>
  </si>
  <si>
    <t>E17 Conference</t>
  </si>
  <si>
    <t>LG</t>
  </si>
  <si>
    <t>LG32LH576D-TA</t>
  </si>
  <si>
    <t>610PLGE168007</t>
  </si>
  <si>
    <t>A0:6F:AA:08:A0:60</t>
  </si>
  <si>
    <t>E17 Security Gate</t>
  </si>
  <si>
    <t>43LJ554T-TA</t>
  </si>
  <si>
    <t>710PLHT108777</t>
  </si>
  <si>
    <t>38:8C:50:89:2B:DE</t>
  </si>
  <si>
    <t>MI</t>
  </si>
  <si>
    <t>MiTV-AXSO0</t>
  </si>
  <si>
    <t>25077106100071164</t>
  </si>
  <si>
    <t>AC:64:CF:23:D2:42</t>
  </si>
  <si>
    <t>VP Sir Cabin</t>
  </si>
  <si>
    <t>E22 Control Room</t>
  </si>
  <si>
    <t>Projector</t>
  </si>
  <si>
    <t>E18 Conference</t>
  </si>
  <si>
    <t>E16 Traninig Hall</t>
  </si>
  <si>
    <t>Rental Xerox Machine</t>
  </si>
  <si>
    <t>28L05249</t>
  </si>
  <si>
    <t>Canon imageRUNNER iR2425</t>
  </si>
  <si>
    <t>E18 Admin Office</t>
  </si>
  <si>
    <t>2VN10402</t>
  </si>
  <si>
    <t>Canon imageRUNNER iR2625</t>
  </si>
  <si>
    <t>E17 Purchase Office</t>
  </si>
  <si>
    <t>2VN06573</t>
  </si>
  <si>
    <t>E8 QC LAB</t>
  </si>
  <si>
    <t>2VN06547</t>
  </si>
  <si>
    <t>User Name</t>
  </si>
  <si>
    <t>Password</t>
  </si>
  <si>
    <t>192.168.0.39</t>
  </si>
  <si>
    <t>admin</t>
  </si>
  <si>
    <t>ocspl@123</t>
  </si>
  <si>
    <t>CCTV</t>
  </si>
  <si>
    <t>E16</t>
  </si>
  <si>
    <t>192.168.0.40</t>
  </si>
  <si>
    <t>newNEW@205</t>
  </si>
  <si>
    <t>NVR</t>
  </si>
  <si>
    <t>192.168.0.41</t>
  </si>
  <si>
    <t>192.168.0.42</t>
  </si>
  <si>
    <t>192.168.0.43</t>
  </si>
  <si>
    <t>192.168.0.44</t>
  </si>
  <si>
    <t>192.168.0.45</t>
  </si>
  <si>
    <t>192.168.0.46</t>
  </si>
  <si>
    <t>192.168.0.47</t>
  </si>
  <si>
    <t>192.168.0.48</t>
  </si>
  <si>
    <t>192.168.0.49</t>
  </si>
  <si>
    <t>192.168.0.51</t>
  </si>
  <si>
    <t>192.168.0.53</t>
  </si>
  <si>
    <t>192.168.0.54</t>
  </si>
  <si>
    <t>192.168.0.55</t>
  </si>
  <si>
    <t>192.168.0.56</t>
  </si>
  <si>
    <t>192.168.0.57</t>
  </si>
  <si>
    <t>192.168.0.58</t>
  </si>
  <si>
    <t>192.168.0.59</t>
  </si>
  <si>
    <t>192.168.0.60</t>
  </si>
  <si>
    <t>192.168.0.61</t>
  </si>
  <si>
    <t>192.168.0.62</t>
  </si>
  <si>
    <t>192.168.0.63</t>
  </si>
  <si>
    <t>192.168.0.66</t>
  </si>
  <si>
    <t>192.168.0.67</t>
  </si>
  <si>
    <t>192.168.0.69</t>
  </si>
  <si>
    <t>192.168.0.70</t>
  </si>
  <si>
    <t>192.168.0.71</t>
  </si>
  <si>
    <t>192.168.0.72</t>
  </si>
  <si>
    <t>192.168.0.73</t>
  </si>
  <si>
    <t>192.168.0.74</t>
  </si>
  <si>
    <t>192.168.0.75</t>
  </si>
  <si>
    <t>192.168.0.76</t>
  </si>
  <si>
    <t>192.168.0.77</t>
  </si>
  <si>
    <t>192.168.0.78</t>
  </si>
  <si>
    <t>192.168.0.79</t>
  </si>
  <si>
    <t>192.168.0.80</t>
  </si>
  <si>
    <t>192.168.0.81</t>
  </si>
  <si>
    <t>192.168.0.82</t>
  </si>
  <si>
    <t>192.168.0.83</t>
  </si>
  <si>
    <t>192.168.0.84</t>
  </si>
  <si>
    <t>192.168.0.85</t>
  </si>
  <si>
    <t>192.168.0.86</t>
  </si>
  <si>
    <t>192.168.0.87</t>
  </si>
  <si>
    <t>192.168.0.88</t>
  </si>
  <si>
    <t>192.168.0.89</t>
  </si>
  <si>
    <t>192.168.0.90</t>
  </si>
  <si>
    <t>192.168.0.91</t>
  </si>
  <si>
    <t>192.168.0.93</t>
  </si>
  <si>
    <t>192.168.0.94</t>
  </si>
  <si>
    <t>192.168.0.95</t>
  </si>
  <si>
    <t>192.168.0.96</t>
  </si>
  <si>
    <t>Asset Type</t>
  </si>
  <si>
    <t>SanDisk</t>
  </si>
  <si>
    <t>VI</t>
  </si>
  <si>
    <t>Jio</t>
  </si>
  <si>
    <t>Mobile Number</t>
  </si>
  <si>
    <t>Issued Date</t>
  </si>
  <si>
    <t>Model Number</t>
  </si>
  <si>
    <t>Phone Number</t>
  </si>
  <si>
    <t>Mobile Model</t>
  </si>
  <si>
    <t>Name</t>
  </si>
  <si>
    <t>Mobile</t>
  </si>
  <si>
    <t> </t>
  </si>
  <si>
    <t>Tecno spark samrtphone</t>
  </si>
  <si>
    <t>SMS Account</t>
  </si>
  <si>
    <t>Jio Phone</t>
  </si>
  <si>
    <t>Nokia 105</t>
  </si>
  <si>
    <t>Vikas Kale</t>
  </si>
  <si>
    <t>Not Allocate</t>
  </si>
  <si>
    <t>Prashant Ingale</t>
  </si>
  <si>
    <t>Jio Bharat Basic phone</t>
  </si>
  <si>
    <t>D Block</t>
  </si>
  <si>
    <t>Hero</t>
  </si>
  <si>
    <t>Pravin Patil</t>
  </si>
  <si>
    <t>Guest House</t>
  </si>
  <si>
    <t>B Block</t>
  </si>
  <si>
    <t>Bhagwan Bhange</t>
  </si>
  <si>
    <t>E22 Boiler Operator</t>
  </si>
  <si>
    <t xml:space="preserve"> Savala Kumbhar</t>
  </si>
  <si>
    <t>Eletric</t>
  </si>
  <si>
    <t>Chandrakant Anuse E-Sim</t>
  </si>
  <si>
    <t>Deactive</t>
  </si>
  <si>
    <t>Security E16</t>
  </si>
  <si>
    <t>Samsung</t>
  </si>
  <si>
    <t>E22 Boiler Control Room</t>
  </si>
  <si>
    <t>Satish Padsalagi</t>
  </si>
  <si>
    <t xml:space="preserve">Electrical E 18 </t>
  </si>
  <si>
    <t xml:space="preserve">Electrical E17 </t>
  </si>
  <si>
    <t>C Block incharge</t>
  </si>
  <si>
    <t>Production Packing</t>
  </si>
  <si>
    <t>Lava</t>
  </si>
  <si>
    <t xml:space="preserve"> Arjun Wale</t>
  </si>
  <si>
    <t>Safty Staff</t>
  </si>
  <si>
    <t>Utility E 18</t>
  </si>
  <si>
    <t>Amol Choudhari</t>
  </si>
  <si>
    <t>Utility E 17</t>
  </si>
  <si>
    <t>Sharad Gaikwad</t>
  </si>
  <si>
    <t>Spare Active</t>
  </si>
  <si>
    <t>Vinod Nimbalkar E-Sim</t>
  </si>
  <si>
    <t>A Block</t>
  </si>
  <si>
    <t>E DCS Room</t>
  </si>
  <si>
    <t>Balasaheb Shindge</t>
  </si>
  <si>
    <t>Security E17</t>
  </si>
  <si>
    <t>Shahnawaz Nadaf</t>
  </si>
  <si>
    <t>ETP DM Plant</t>
  </si>
  <si>
    <t>Yogesh Ailolla</t>
  </si>
  <si>
    <t>Instrumentation E17</t>
  </si>
  <si>
    <t>E block</t>
  </si>
  <si>
    <t>Shift Maintenance 2</t>
  </si>
  <si>
    <t>Balbhim Kale</t>
  </si>
  <si>
    <t>ForkLift</t>
  </si>
  <si>
    <t>Shift Fitter E Block</t>
  </si>
  <si>
    <t>RM Tanker Unloading</t>
  </si>
  <si>
    <t>Hrdaya Shah</t>
  </si>
  <si>
    <t>Head Office</t>
  </si>
  <si>
    <t>MEE Plant</t>
  </si>
  <si>
    <t>Datta Harkud</t>
  </si>
  <si>
    <t>Navnath Shef</t>
  </si>
  <si>
    <t>Production Data Operator</t>
  </si>
  <si>
    <t>Itel</t>
  </si>
  <si>
    <t>VP Sir (Spare)</t>
  </si>
  <si>
    <t>Deactivated</t>
  </si>
  <si>
    <t xml:space="preserve">Model </t>
  </si>
  <si>
    <t>Matrix</t>
  </si>
  <si>
    <t>LT41SLEHS</t>
  </si>
  <si>
    <t>5CG5261RD0</t>
  </si>
  <si>
    <t>HP 240RG9 i5-1334U 14 8GB/512 PC (C1YA3AT)</t>
  </si>
  <si>
    <t>38:8D:3D:F9:A3:7C (Wi-Fi)</t>
  </si>
  <si>
    <t>5CG5234BRC</t>
  </si>
  <si>
    <t>HP 240G10 i3-1315U 14 8GB/512 PC (B94Y6PT)</t>
  </si>
  <si>
    <t>I3</t>
  </si>
  <si>
    <t>F8:3D:C6:D1:E0:E8 (Wi-Fi)</t>
  </si>
  <si>
    <t>00737</t>
  </si>
  <si>
    <t>Pradeep Vasantappa Daruwale</t>
  </si>
  <si>
    <t>00738</t>
  </si>
  <si>
    <t>Manoj Hanmant Bagal</t>
  </si>
  <si>
    <t>00739</t>
  </si>
  <si>
    <t>Rajendra Ambaji Ghodke</t>
  </si>
  <si>
    <t>LT42SLPD</t>
  </si>
  <si>
    <t>PC105SLQC</t>
  </si>
  <si>
    <t>Windows 10 Pro</t>
  </si>
  <si>
    <t>00740</t>
  </si>
  <si>
    <t>Sachin Vasant Waje</t>
  </si>
  <si>
    <t>00741</t>
  </si>
  <si>
    <t>Gajanand Basappa Umrani</t>
  </si>
  <si>
    <t>00742</t>
  </si>
  <si>
    <t>Nihal Manjur Mulani</t>
  </si>
  <si>
    <t>00743</t>
  </si>
  <si>
    <t>Sagar Khandu Gund</t>
  </si>
  <si>
    <t>00744</t>
  </si>
  <si>
    <t>Salim Pasha Tamboli</t>
  </si>
  <si>
    <t>00745</t>
  </si>
  <si>
    <t>Kalyani Rajdeep Kulkarni</t>
  </si>
  <si>
    <t>00746</t>
  </si>
  <si>
    <t>Balasaheb Gorakh Kalekar</t>
  </si>
  <si>
    <t>00747</t>
  </si>
  <si>
    <t>Tanaji Nagorao Kadam</t>
  </si>
  <si>
    <t>00748</t>
  </si>
  <si>
    <t>Saurabh Mathurdas Shirke</t>
  </si>
  <si>
    <t>00749</t>
  </si>
  <si>
    <t>Vishwanath Somshekhar Karajagi</t>
  </si>
  <si>
    <t>00750</t>
  </si>
  <si>
    <t>Madhav Manohar Gaikwad</t>
  </si>
  <si>
    <t>5CG2527184Q</t>
  </si>
  <si>
    <t>38:8D:3D:C2:D2:F6 (Wi-Fi)</t>
  </si>
  <si>
    <t>F8:ED:FC:A8:68:50 (LAN)</t>
  </si>
  <si>
    <t>LT25HOHR</t>
  </si>
  <si>
    <t>L9N0CX053733389</t>
  </si>
  <si>
    <t>ASUS VivoBook Laptop</t>
  </si>
  <si>
    <t>AC:12:03:EE:B5:56 (Wi-Fi)</t>
  </si>
  <si>
    <t>00751</t>
  </si>
  <si>
    <t>Jivan Somaning Gotsurve</t>
  </si>
  <si>
    <t>LT43SLPD</t>
  </si>
  <si>
    <t>LT44SLEHS</t>
  </si>
  <si>
    <t>3 100U</t>
  </si>
  <si>
    <t>100U</t>
  </si>
  <si>
    <t>00752</t>
  </si>
  <si>
    <t>Arbaz Baktavar Patel</t>
  </si>
  <si>
    <t>00753</t>
  </si>
  <si>
    <t>Pramod Vilas Pawar</t>
  </si>
  <si>
    <t>00754</t>
  </si>
  <si>
    <t>Suhas Suresh Yelane</t>
  </si>
  <si>
    <t>00755</t>
  </si>
  <si>
    <t>Amar Bhairu Magar</t>
  </si>
  <si>
    <t>D0002</t>
  </si>
  <si>
    <t>Vikas Mangilal Shah</t>
  </si>
  <si>
    <t>Management</t>
  </si>
  <si>
    <t>Director</t>
  </si>
  <si>
    <t>F0:68:E3:6B:43:C6 (Wi-Fi)</t>
  </si>
  <si>
    <t>5CD55065F0</t>
  </si>
  <si>
    <t>HP 250RG10 3-100U 15 8GB/512 PC (D2HA9AT)</t>
  </si>
  <si>
    <t>LT45SLQA</t>
  </si>
  <si>
    <t>5CD549B7LJ</t>
  </si>
  <si>
    <t>LT46SLQC</t>
  </si>
  <si>
    <t>20:58:43:01:C4:C4 (Wi-Fi)</t>
  </si>
  <si>
    <t>20:58:43:02:F3:48 (Wi-Fi)</t>
  </si>
  <si>
    <t>5CD549B7SP</t>
  </si>
  <si>
    <t>HP 250RG10 3-100U 15 8GB/512 PC (D2HA9AT</t>
  </si>
  <si>
    <t>00756</t>
  </si>
  <si>
    <t>Hasan Babasaheb Shaikh</t>
  </si>
  <si>
    <t>00757</t>
  </si>
  <si>
    <t>Ravikumar Rajendra Tiparadi</t>
  </si>
  <si>
    <t>PC102SLQC</t>
  </si>
  <si>
    <t>Current Department2</t>
  </si>
  <si>
    <t>Mac Address3</t>
  </si>
  <si>
    <t>HR Team</t>
  </si>
  <si>
    <t>QC LAB</t>
  </si>
  <si>
    <t>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</si>
</sst>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0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20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color rgb="FF000000"/>
      <name val="Aptos Narrow"/>
      <family val="2"/>
    </font>
    <font>
      <b/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theme="8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4" fillId="0" borderId="0" xfId="0" applyFont="1"/>
    <xf numFmtId="0" fontId="7" fillId="0" borderId="2" xfId="0" applyFont="1" applyBorder="1"/>
    <xf numFmtId="0" fontId="0" fillId="0" borderId="2" xfId="0" applyBorder="1" applyAlignment="1">
      <alignment horizontal="center" indent="1"/>
    </xf>
    <xf numFmtId="0" fontId="4" fillId="0" borderId="2" xfId="0" applyFont="1" applyBorder="1" applyAlignment="1">
      <alignment horizontal="center" indent="1"/>
    </xf>
    <xf numFmtId="0" fontId="2" fillId="3" borderId="1" xfId="0" applyFont="1" applyFill="1" applyBorder="1"/>
    <xf numFmtId="0" fontId="2" fillId="3" borderId="4" xfId="0" applyFont="1" applyFill="1" applyBorder="1"/>
    <xf numFmtId="0" fontId="2" fillId="3" borderId="9" xfId="0" applyFont="1" applyFill="1" applyBorder="1"/>
    <xf numFmtId="0" fontId="3" fillId="0" borderId="2" xfId="0" applyFont="1" applyBorder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6" xfId="0" quotePrefix="1" applyFont="1" applyFill="1" applyBorder="1" applyAlignment="1">
      <alignment horizontal="left"/>
    </xf>
    <xf numFmtId="0" fontId="3" fillId="0" borderId="6" xfId="0" quotePrefix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3" borderId="2" xfId="0" applyFont="1" applyFill="1" applyBorder="1"/>
    <xf numFmtId="0" fontId="2" fillId="3" borderId="11" xfId="0" applyFont="1" applyFill="1" applyBorder="1"/>
    <xf numFmtId="0" fontId="8" fillId="0" borderId="0" xfId="0" applyFont="1" applyAlignment="1">
      <alignment horizontal="center" vertical="center" wrapText="1"/>
    </xf>
    <xf numFmtId="0" fontId="0" fillId="0" borderId="11" xfId="0" applyBorder="1"/>
    <xf numFmtId="0" fontId="2" fillId="3" borderId="2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4" fillId="0" borderId="2" xfId="0" quotePrefix="1" applyFont="1" applyBorder="1"/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0" fontId="0" fillId="0" borderId="1" xfId="0" applyBorder="1"/>
    <xf numFmtId="0" fontId="13" fillId="0" borderId="2" xfId="0" applyFont="1" applyBorder="1"/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4" fillId="4" borderId="6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16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4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0000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B7B7B7"/>
          <bgColor rgb="FFB7B7B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52E61-7744-42E3-93D4-58B58525DE32}" name="EMP_Info" displayName="EMP_Info" ref="A1:D313" totalsRowShown="0" headerRowDxfId="15" headerRowBorderDxfId="14" tableBorderDxfId="13" totalsRowBorderDxfId="12">
  <autoFilter ref="A1:D313" xr:uid="{6FA52E61-7744-42E3-93D4-58B58525DE32}"/>
  <tableColumns count="4">
    <tableColumn id="1" xr3:uid="{B06366A6-C507-4122-8C7E-C7B309746465}" name="Employee Code" dataDxfId="11"/>
    <tableColumn id="2" xr3:uid="{01A8433A-9557-4F4F-ACA3-4700374C3C84}" name="Full name" dataDxfId="10"/>
    <tableColumn id="3" xr3:uid="{5D1AE937-E0E2-4AA6-A576-BF2811EE9894}" name="Department" dataDxfId="9"/>
    <tableColumn id="4" xr3:uid="{77AA3938-C916-4FFF-A8DB-49574483A002}" name="Designation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BB78D1-6A32-4C86-8F93-52C1BDA5082B}" name="Table2" displayName="Table2" ref="A1:U123" totalsRowShown="0" headerRowDxfId="40" dataDxfId="38" headerRowBorderDxfId="39" tableBorderDxfId="37">
  <autoFilter ref="A1:U123" xr:uid="{B78A8FC4-8E94-4182-A9D2-F18D62A2A35D}"/>
  <sortState xmlns:xlrd2="http://schemas.microsoft.com/office/spreadsheetml/2017/richdata2" ref="A2:U123">
    <sortCondition ref="A1:A123"/>
  </sortState>
  <tableColumns count="21">
    <tableColumn id="1" xr3:uid="{F1E4FF81-A181-48ED-9DCF-0CFEE1EEC110}" name="Sr No" dataDxfId="36"/>
    <tableColumn id="2" xr3:uid="{83BC2712-2E18-4130-B1EC-0AFE0BDFC55B}" name="Asset_Tag" dataDxfId="35"/>
    <tableColumn id="3" xr3:uid="{6888239B-3FB7-4407-98E5-586970273DE9}" name="Location" dataDxfId="34"/>
    <tableColumn id="4" xr3:uid="{395FC6A0-866B-49A5-A2A8-1E22719490B2}" name="Asset_Type" dataDxfId="33"/>
    <tableColumn id="5" xr3:uid="{DED074FA-F06E-42A6-B33C-E3DBB4AA77AD}" name="Labelled" dataDxfId="32"/>
    <tableColumn id="6" xr3:uid="{E96F0A73-2C0B-4C58-B0CB-EEBE276FC552}" name="Current User Name" dataDxfId="31"/>
    <tableColumn id="7" xr3:uid="{4D22358C-305C-4F3F-9515-2B0C6F2F1003}" name="Current Department" dataDxfId="30">
      <calculatedColumnFormula>IFERROR(VLOOKUP(F2,EMP_Info[[Full name]:[Department]],2,FALSE),F2)</calculatedColumnFormula>
    </tableColumn>
    <tableColumn id="8" xr3:uid="{3CDEA7F4-7381-4942-A637-F4AEE4407512}" name="Current Department2" dataDxfId="29"/>
    <tableColumn id="9" xr3:uid="{99C1A37B-01E7-483E-9804-2FEF9BFE0B18}" name="Old User Name" dataDxfId="28"/>
    <tableColumn id="10" xr3:uid="{227F00B6-7991-493A-ACB5-BF023BE462A3}" name="Old Department" dataDxfId="27"/>
    <tableColumn id="11" xr3:uid="{A76E7284-861E-4000-B968-70CF94B9D871}" name="Serial No" dataDxfId="26"/>
    <tableColumn id="12" xr3:uid="{05E8B00B-591F-4F9A-AE73-E0DA3AFE0B32}" name="Service Tag No" dataDxfId="25"/>
    <tableColumn id="13" xr3:uid="{B8E0E05B-108D-4D19-9C96-DE01E1410488}" name="Make" dataDxfId="24"/>
    <tableColumn id="14" xr3:uid="{3B8EB5AC-3BBD-4D7C-870C-DEBE27796155}" name="Processor" dataDxfId="23"/>
    <tableColumn id="15" xr3:uid="{1F949021-A15D-4F87-B31B-C0B27E010274}" name="Gen" dataDxfId="22"/>
    <tableColumn id="16" xr3:uid="{AB145C0D-9F20-4E4C-9BCE-5C3214F048A7}" name="Ssd" dataDxfId="21"/>
    <tableColumn id="17" xr3:uid="{35CBB15D-CE1C-445A-B68E-9187D01FA159}" name="Hdd" dataDxfId="20"/>
    <tableColumn id="18" xr3:uid="{C81C374F-E57F-427F-8851-B0E84FCA47A1}" name="Ram" dataDxfId="19"/>
    <tableColumn id="19" xr3:uid="{E6C3772F-7F48-4FD9-8E63-C9B9F3CB0235}" name="Os" dataDxfId="18"/>
    <tableColumn id="20" xr3:uid="{0FA4DE43-E2BF-47A1-96FB-61B128CA0A95}" name="Mac Address" dataDxfId="17"/>
    <tableColumn id="21" xr3:uid="{A21ACAC3-5D28-41C3-B887-78700CE5E49F}" name="Mac Address3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3AE1-9E91-4E3E-974E-70B52BBD7CD6}">
  <dimension ref="A1:F313"/>
  <sheetViews>
    <sheetView workbookViewId="0">
      <pane ySplit="1" topLeftCell="A283" activePane="bottomLeft" state="frozen"/>
      <selection pane="bottomLeft" activeCell="A310" sqref="A310:D313"/>
    </sheetView>
  </sheetViews>
  <sheetFormatPr defaultRowHeight="15" x14ac:dyDescent="0.25"/>
  <cols>
    <col min="1" max="1" width="20" style="2" bestFit="1" customWidth="1"/>
    <col min="2" max="2" width="38.28515625" style="2" bestFit="1" customWidth="1"/>
    <col min="3" max="3" width="17.28515625" style="2" bestFit="1" customWidth="1"/>
    <col min="4" max="4" width="34.140625" style="2" bestFit="1" customWidth="1"/>
    <col min="5" max="16384" width="9.140625" style="2"/>
  </cols>
  <sheetData>
    <row r="1" spans="1:4" x14ac:dyDescent="0.2">
      <c r="A1" s="55" t="s">
        <v>0</v>
      </c>
      <c r="B1" s="56" t="s">
        <v>1</v>
      </c>
      <c r="C1" s="56" t="s">
        <v>2</v>
      </c>
      <c r="D1" s="57" t="s">
        <v>3</v>
      </c>
    </row>
    <row r="2" spans="1:4" x14ac:dyDescent="0.25">
      <c r="A2" s="53" t="s">
        <v>4</v>
      </c>
      <c r="B2" s="51" t="s">
        <v>5</v>
      </c>
      <c r="C2" s="51" t="s">
        <v>6</v>
      </c>
      <c r="D2" s="54" t="s">
        <v>7</v>
      </c>
    </row>
    <row r="3" spans="1:4" x14ac:dyDescent="0.25">
      <c r="A3" s="53" t="s">
        <v>8</v>
      </c>
      <c r="B3" s="51" t="s">
        <v>9</v>
      </c>
      <c r="C3" s="52" t="s">
        <v>10</v>
      </c>
      <c r="D3" s="54" t="s">
        <v>11</v>
      </c>
    </row>
    <row r="4" spans="1:4" x14ac:dyDescent="0.25">
      <c r="A4" s="53" t="s">
        <v>12</v>
      </c>
      <c r="B4" s="51" t="s">
        <v>13</v>
      </c>
      <c r="C4" s="51" t="s">
        <v>14</v>
      </c>
      <c r="D4" s="54" t="s">
        <v>11</v>
      </c>
    </row>
    <row r="5" spans="1:4" x14ac:dyDescent="0.25">
      <c r="A5" s="53" t="s">
        <v>15</v>
      </c>
      <c r="B5" s="51" t="s">
        <v>16</v>
      </c>
      <c r="C5" s="51" t="s">
        <v>17</v>
      </c>
      <c r="D5" s="54" t="s">
        <v>18</v>
      </c>
    </row>
    <row r="6" spans="1:4" x14ac:dyDescent="0.25">
      <c r="A6" s="53" t="s">
        <v>19</v>
      </c>
      <c r="B6" s="51" t="s">
        <v>20</v>
      </c>
      <c r="C6" s="51" t="s">
        <v>21</v>
      </c>
      <c r="D6" s="54" t="s">
        <v>22</v>
      </c>
    </row>
    <row r="7" spans="1:4" x14ac:dyDescent="0.25">
      <c r="A7" s="53" t="s">
        <v>23</v>
      </c>
      <c r="B7" s="51" t="s">
        <v>24</v>
      </c>
      <c r="C7" s="51" t="s">
        <v>25</v>
      </c>
      <c r="D7" s="54" t="s">
        <v>26</v>
      </c>
    </row>
    <row r="8" spans="1:4" x14ac:dyDescent="0.25">
      <c r="A8" s="53" t="s">
        <v>27</v>
      </c>
      <c r="B8" s="51" t="s">
        <v>28</v>
      </c>
      <c r="C8" s="51" t="s">
        <v>25</v>
      </c>
      <c r="D8" s="54" t="s">
        <v>11</v>
      </c>
    </row>
    <row r="9" spans="1:4" x14ac:dyDescent="0.25">
      <c r="A9" s="53" t="s">
        <v>29</v>
      </c>
      <c r="B9" s="51" t="s">
        <v>30</v>
      </c>
      <c r="C9" s="51" t="s">
        <v>10</v>
      </c>
      <c r="D9" s="54" t="s">
        <v>31</v>
      </c>
    </row>
    <row r="10" spans="1:4" x14ac:dyDescent="0.25">
      <c r="A10" s="53" t="s">
        <v>32</v>
      </c>
      <c r="B10" s="51" t="s">
        <v>33</v>
      </c>
      <c r="C10" s="51" t="s">
        <v>10</v>
      </c>
      <c r="D10" s="54" t="s">
        <v>31</v>
      </c>
    </row>
    <row r="11" spans="1:4" x14ac:dyDescent="0.25">
      <c r="A11" s="53" t="s">
        <v>34</v>
      </c>
      <c r="B11" s="51" t="s">
        <v>35</v>
      </c>
      <c r="C11" s="51" t="s">
        <v>36</v>
      </c>
      <c r="D11" s="54" t="s">
        <v>37</v>
      </c>
    </row>
    <row r="12" spans="1:4" x14ac:dyDescent="0.25">
      <c r="A12" s="53" t="s">
        <v>38</v>
      </c>
      <c r="B12" s="51" t="s">
        <v>39</v>
      </c>
      <c r="C12" s="51" t="s">
        <v>10</v>
      </c>
      <c r="D12" s="54" t="s">
        <v>40</v>
      </c>
    </row>
    <row r="13" spans="1:4" x14ac:dyDescent="0.25">
      <c r="A13" s="53" t="s">
        <v>41</v>
      </c>
      <c r="B13" s="51" t="s">
        <v>42</v>
      </c>
      <c r="C13" s="51" t="s">
        <v>10</v>
      </c>
      <c r="D13" s="54" t="s">
        <v>37</v>
      </c>
    </row>
    <row r="14" spans="1:4" x14ac:dyDescent="0.25">
      <c r="A14" s="53" t="s">
        <v>43</v>
      </c>
      <c r="B14" s="51" t="s">
        <v>44</v>
      </c>
      <c r="C14" s="51" t="s">
        <v>6</v>
      </c>
      <c r="D14" s="54" t="s">
        <v>45</v>
      </c>
    </row>
    <row r="15" spans="1:4" x14ac:dyDescent="0.25">
      <c r="A15" s="53" t="s">
        <v>46</v>
      </c>
      <c r="B15" s="51" t="s">
        <v>47</v>
      </c>
      <c r="C15" s="51" t="s">
        <v>36</v>
      </c>
      <c r="D15" s="54" t="s">
        <v>37</v>
      </c>
    </row>
    <row r="16" spans="1:4" x14ac:dyDescent="0.25">
      <c r="A16" s="53" t="s">
        <v>48</v>
      </c>
      <c r="B16" s="51" t="s">
        <v>49</v>
      </c>
      <c r="C16" s="51" t="s">
        <v>36</v>
      </c>
      <c r="D16" s="54" t="s">
        <v>50</v>
      </c>
    </row>
    <row r="17" spans="1:4" x14ac:dyDescent="0.25">
      <c r="A17" s="53" t="s">
        <v>51</v>
      </c>
      <c r="B17" s="51" t="s">
        <v>52</v>
      </c>
      <c r="C17" s="51" t="s">
        <v>36</v>
      </c>
      <c r="D17" s="54" t="s">
        <v>37</v>
      </c>
    </row>
    <row r="18" spans="1:4" x14ac:dyDescent="0.25">
      <c r="A18" s="53" t="s">
        <v>53</v>
      </c>
      <c r="B18" s="51" t="s">
        <v>54</v>
      </c>
      <c r="C18" s="51" t="s">
        <v>10</v>
      </c>
      <c r="D18" s="54" t="s">
        <v>37</v>
      </c>
    </row>
    <row r="19" spans="1:4" x14ac:dyDescent="0.25">
      <c r="A19" s="53" t="s">
        <v>55</v>
      </c>
      <c r="B19" s="51" t="s">
        <v>56</v>
      </c>
      <c r="C19" s="51" t="s">
        <v>10</v>
      </c>
      <c r="D19" s="54" t="s">
        <v>26</v>
      </c>
    </row>
    <row r="20" spans="1:4" x14ac:dyDescent="0.25">
      <c r="A20" s="53" t="s">
        <v>57</v>
      </c>
      <c r="B20" s="51" t="s">
        <v>58</v>
      </c>
      <c r="C20" s="51" t="s">
        <v>10</v>
      </c>
      <c r="D20" s="54" t="s">
        <v>37</v>
      </c>
    </row>
    <row r="21" spans="1:4" x14ac:dyDescent="0.25">
      <c r="A21" s="53" t="s">
        <v>59</v>
      </c>
      <c r="B21" s="51" t="s">
        <v>60</v>
      </c>
      <c r="C21" s="51" t="s">
        <v>10</v>
      </c>
      <c r="D21" s="54" t="s">
        <v>26</v>
      </c>
    </row>
    <row r="22" spans="1:4" x14ac:dyDescent="0.25">
      <c r="A22" s="53" t="s">
        <v>61</v>
      </c>
      <c r="B22" s="51" t="s">
        <v>62</v>
      </c>
      <c r="C22" s="51" t="s">
        <v>21</v>
      </c>
      <c r="D22" s="54" t="s">
        <v>26</v>
      </c>
    </row>
    <row r="23" spans="1:4" x14ac:dyDescent="0.25">
      <c r="A23" s="53" t="s">
        <v>63</v>
      </c>
      <c r="B23" s="51" t="s">
        <v>64</v>
      </c>
      <c r="C23" s="51" t="s">
        <v>65</v>
      </c>
      <c r="D23" s="54" t="s">
        <v>66</v>
      </c>
    </row>
    <row r="24" spans="1:4" x14ac:dyDescent="0.25">
      <c r="A24" s="53" t="s">
        <v>67</v>
      </c>
      <c r="B24" s="51" t="s">
        <v>68</v>
      </c>
      <c r="C24" s="51" t="s">
        <v>21</v>
      </c>
      <c r="D24" s="54" t="s">
        <v>26</v>
      </c>
    </row>
    <row r="25" spans="1:4" x14ac:dyDescent="0.25">
      <c r="A25" s="53" t="s">
        <v>69</v>
      </c>
      <c r="B25" s="51" t="s">
        <v>70</v>
      </c>
      <c r="C25" s="51" t="s">
        <v>10</v>
      </c>
      <c r="D25" s="54" t="s">
        <v>37</v>
      </c>
    </row>
    <row r="26" spans="1:4" x14ac:dyDescent="0.25">
      <c r="A26" s="53" t="s">
        <v>71</v>
      </c>
      <c r="B26" s="51" t="s">
        <v>72</v>
      </c>
      <c r="C26" s="51" t="s">
        <v>73</v>
      </c>
      <c r="D26" s="54" t="s">
        <v>74</v>
      </c>
    </row>
    <row r="27" spans="1:4" x14ac:dyDescent="0.25">
      <c r="A27" s="53" t="s">
        <v>75</v>
      </c>
      <c r="B27" s="51" t="s">
        <v>76</v>
      </c>
      <c r="C27" s="51" t="s">
        <v>10</v>
      </c>
      <c r="D27" s="54" t="s">
        <v>31</v>
      </c>
    </row>
    <row r="28" spans="1:4" x14ac:dyDescent="0.25">
      <c r="A28" s="53" t="s">
        <v>77</v>
      </c>
      <c r="B28" s="51" t="s">
        <v>78</v>
      </c>
      <c r="C28" s="51" t="s">
        <v>79</v>
      </c>
      <c r="D28" s="54" t="s">
        <v>18</v>
      </c>
    </row>
    <row r="29" spans="1:4" x14ac:dyDescent="0.25">
      <c r="A29" s="53" t="s">
        <v>80</v>
      </c>
      <c r="B29" s="51" t="s">
        <v>81</v>
      </c>
      <c r="C29" s="51" t="s">
        <v>10</v>
      </c>
      <c r="D29" s="54" t="s">
        <v>37</v>
      </c>
    </row>
    <row r="30" spans="1:4" x14ac:dyDescent="0.25">
      <c r="A30" s="53" t="s">
        <v>82</v>
      </c>
      <c r="B30" s="51" t="s">
        <v>83</v>
      </c>
      <c r="C30" s="51" t="s">
        <v>10</v>
      </c>
      <c r="D30" s="54" t="s">
        <v>37</v>
      </c>
    </row>
    <row r="31" spans="1:4" x14ac:dyDescent="0.25">
      <c r="A31" s="53" t="s">
        <v>84</v>
      </c>
      <c r="B31" s="51" t="s">
        <v>85</v>
      </c>
      <c r="C31" s="51" t="s">
        <v>10</v>
      </c>
      <c r="D31" s="54" t="s">
        <v>11</v>
      </c>
    </row>
    <row r="32" spans="1:4" x14ac:dyDescent="0.25">
      <c r="A32" s="53" t="s">
        <v>86</v>
      </c>
      <c r="B32" s="51" t="s">
        <v>87</v>
      </c>
      <c r="C32" s="51" t="s">
        <v>10</v>
      </c>
      <c r="D32" s="54" t="s">
        <v>74</v>
      </c>
    </row>
    <row r="33" spans="1:4" x14ac:dyDescent="0.25">
      <c r="A33" s="53" t="s">
        <v>88</v>
      </c>
      <c r="B33" s="51" t="s">
        <v>89</v>
      </c>
      <c r="C33" s="51" t="s">
        <v>10</v>
      </c>
      <c r="D33" s="54" t="s">
        <v>31</v>
      </c>
    </row>
    <row r="34" spans="1:4" x14ac:dyDescent="0.25">
      <c r="A34" s="53" t="s">
        <v>90</v>
      </c>
      <c r="B34" s="51" t="s">
        <v>91</v>
      </c>
      <c r="C34" s="51" t="s">
        <v>36</v>
      </c>
      <c r="D34" s="54" t="s">
        <v>37</v>
      </c>
    </row>
    <row r="35" spans="1:4" x14ac:dyDescent="0.25">
      <c r="A35" s="53" t="s">
        <v>92</v>
      </c>
      <c r="B35" s="51" t="s">
        <v>93</v>
      </c>
      <c r="C35" s="51" t="s">
        <v>10</v>
      </c>
      <c r="D35" s="54" t="s">
        <v>31</v>
      </c>
    </row>
    <row r="36" spans="1:4" x14ac:dyDescent="0.25">
      <c r="A36" s="53" t="s">
        <v>94</v>
      </c>
      <c r="B36" s="51" t="s">
        <v>95</v>
      </c>
      <c r="C36" s="51" t="s">
        <v>10</v>
      </c>
      <c r="D36" s="54" t="s">
        <v>11</v>
      </c>
    </row>
    <row r="37" spans="1:4" x14ac:dyDescent="0.25">
      <c r="A37" s="53" t="s">
        <v>96</v>
      </c>
      <c r="B37" s="51" t="s">
        <v>97</v>
      </c>
      <c r="C37" s="51" t="s">
        <v>10</v>
      </c>
      <c r="D37" s="54" t="s">
        <v>11</v>
      </c>
    </row>
    <row r="38" spans="1:4" x14ac:dyDescent="0.25">
      <c r="A38" s="53" t="s">
        <v>98</v>
      </c>
      <c r="B38" s="51" t="s">
        <v>99</v>
      </c>
      <c r="C38" s="51" t="s">
        <v>10</v>
      </c>
      <c r="D38" s="54" t="s">
        <v>31</v>
      </c>
    </row>
    <row r="39" spans="1:4" x14ac:dyDescent="0.25">
      <c r="A39" s="53" t="s">
        <v>100</v>
      </c>
      <c r="B39" s="51" t="s">
        <v>101</v>
      </c>
      <c r="C39" s="51" t="s">
        <v>25</v>
      </c>
      <c r="D39" s="54" t="s">
        <v>102</v>
      </c>
    </row>
    <row r="40" spans="1:4" x14ac:dyDescent="0.25">
      <c r="A40" s="53" t="s">
        <v>103</v>
      </c>
      <c r="B40" s="51" t="s">
        <v>104</v>
      </c>
      <c r="C40" s="51" t="s">
        <v>21</v>
      </c>
      <c r="D40" s="54" t="s">
        <v>7</v>
      </c>
    </row>
    <row r="41" spans="1:4" x14ac:dyDescent="0.25">
      <c r="A41" s="53" t="s">
        <v>105</v>
      </c>
      <c r="B41" s="51" t="s">
        <v>106</v>
      </c>
      <c r="C41" s="51" t="s">
        <v>10</v>
      </c>
      <c r="D41" s="54" t="s">
        <v>11</v>
      </c>
    </row>
    <row r="42" spans="1:4" x14ac:dyDescent="0.25">
      <c r="A42" s="53" t="s">
        <v>107</v>
      </c>
      <c r="B42" s="51" t="s">
        <v>108</v>
      </c>
      <c r="C42" s="51" t="s">
        <v>73</v>
      </c>
      <c r="D42" s="54" t="s">
        <v>109</v>
      </c>
    </row>
    <row r="43" spans="1:4" x14ac:dyDescent="0.25">
      <c r="A43" s="53" t="s">
        <v>110</v>
      </c>
      <c r="B43" s="51" t="s">
        <v>111</v>
      </c>
      <c r="C43" s="51" t="s">
        <v>112</v>
      </c>
      <c r="D43" s="54" t="s">
        <v>40</v>
      </c>
    </row>
    <row r="44" spans="1:4" x14ac:dyDescent="0.25">
      <c r="A44" s="53" t="s">
        <v>113</v>
      </c>
      <c r="B44" s="51" t="s">
        <v>114</v>
      </c>
      <c r="C44" s="51" t="s">
        <v>10</v>
      </c>
      <c r="D44" s="54" t="s">
        <v>37</v>
      </c>
    </row>
    <row r="45" spans="1:4" x14ac:dyDescent="0.25">
      <c r="A45" s="53" t="s">
        <v>115</v>
      </c>
      <c r="B45" s="51" t="s">
        <v>116</v>
      </c>
      <c r="C45" s="51" t="s">
        <v>10</v>
      </c>
      <c r="D45" s="54" t="s">
        <v>11</v>
      </c>
    </row>
    <row r="46" spans="1:4" x14ac:dyDescent="0.25">
      <c r="A46" s="53" t="s">
        <v>117</v>
      </c>
      <c r="B46" s="51" t="s">
        <v>118</v>
      </c>
      <c r="C46" s="51" t="s">
        <v>21</v>
      </c>
      <c r="D46" s="54" t="s">
        <v>37</v>
      </c>
    </row>
    <row r="47" spans="1:4" x14ac:dyDescent="0.25">
      <c r="A47" s="53" t="s">
        <v>119</v>
      </c>
      <c r="B47" s="51" t="s">
        <v>120</v>
      </c>
      <c r="C47" s="51" t="s">
        <v>17</v>
      </c>
      <c r="D47" s="54" t="s">
        <v>74</v>
      </c>
    </row>
    <row r="48" spans="1:4" x14ac:dyDescent="0.25">
      <c r="A48" s="53" t="s">
        <v>121</v>
      </c>
      <c r="B48" s="51" t="s">
        <v>122</v>
      </c>
      <c r="C48" s="51" t="s">
        <v>10</v>
      </c>
      <c r="D48" s="54" t="s">
        <v>74</v>
      </c>
    </row>
    <row r="49" spans="1:4" x14ac:dyDescent="0.25">
      <c r="A49" s="53" t="s">
        <v>123</v>
      </c>
      <c r="B49" s="51" t="s">
        <v>124</v>
      </c>
      <c r="C49" s="51" t="s">
        <v>125</v>
      </c>
      <c r="D49" s="54" t="s">
        <v>126</v>
      </c>
    </row>
    <row r="50" spans="1:4" x14ac:dyDescent="0.25">
      <c r="A50" s="53" t="s">
        <v>127</v>
      </c>
      <c r="B50" s="51" t="s">
        <v>128</v>
      </c>
      <c r="C50" s="51" t="s">
        <v>10</v>
      </c>
      <c r="D50" s="54" t="s">
        <v>37</v>
      </c>
    </row>
    <row r="51" spans="1:4" x14ac:dyDescent="0.25">
      <c r="A51" s="53" t="s">
        <v>129</v>
      </c>
      <c r="B51" s="51" t="s">
        <v>130</v>
      </c>
      <c r="C51" s="51" t="s">
        <v>131</v>
      </c>
      <c r="D51" s="54" t="s">
        <v>22</v>
      </c>
    </row>
    <row r="52" spans="1:4" x14ac:dyDescent="0.25">
      <c r="A52" s="53" t="s">
        <v>132</v>
      </c>
      <c r="B52" s="51" t="s">
        <v>133</v>
      </c>
      <c r="C52" s="51" t="s">
        <v>36</v>
      </c>
      <c r="D52" s="54" t="s">
        <v>37</v>
      </c>
    </row>
    <row r="53" spans="1:4" x14ac:dyDescent="0.25">
      <c r="A53" s="53" t="s">
        <v>134</v>
      </c>
      <c r="B53" s="51" t="s">
        <v>135</v>
      </c>
      <c r="C53" s="51" t="s">
        <v>36</v>
      </c>
      <c r="D53" s="54" t="s">
        <v>37</v>
      </c>
    </row>
    <row r="54" spans="1:4" x14ac:dyDescent="0.25">
      <c r="A54" s="53" t="s">
        <v>136</v>
      </c>
      <c r="B54" s="51" t="s">
        <v>137</v>
      </c>
      <c r="C54" s="51" t="s">
        <v>36</v>
      </c>
      <c r="D54" s="54" t="s">
        <v>26</v>
      </c>
    </row>
    <row r="55" spans="1:4" x14ac:dyDescent="0.25">
      <c r="A55" s="53" t="s">
        <v>138</v>
      </c>
      <c r="B55" s="51" t="s">
        <v>139</v>
      </c>
      <c r="C55" s="51" t="s">
        <v>125</v>
      </c>
      <c r="D55" s="54" t="s">
        <v>126</v>
      </c>
    </row>
    <row r="56" spans="1:4" x14ac:dyDescent="0.25">
      <c r="A56" s="53" t="s">
        <v>140</v>
      </c>
      <c r="B56" s="51" t="s">
        <v>141</v>
      </c>
      <c r="C56" s="51" t="s">
        <v>10</v>
      </c>
      <c r="D56" s="54" t="s">
        <v>11</v>
      </c>
    </row>
    <row r="57" spans="1:4" x14ac:dyDescent="0.25">
      <c r="A57" s="53" t="s">
        <v>142</v>
      </c>
      <c r="B57" s="51" t="s">
        <v>143</v>
      </c>
      <c r="C57" s="51" t="s">
        <v>36</v>
      </c>
      <c r="D57" s="54" t="s">
        <v>50</v>
      </c>
    </row>
    <row r="58" spans="1:4" x14ac:dyDescent="0.25">
      <c r="A58" s="53" t="s">
        <v>144</v>
      </c>
      <c r="B58" s="51" t="s">
        <v>145</v>
      </c>
      <c r="C58" s="51" t="s">
        <v>36</v>
      </c>
      <c r="D58" s="54" t="s">
        <v>50</v>
      </c>
    </row>
    <row r="59" spans="1:4" x14ac:dyDescent="0.25">
      <c r="A59" s="53" t="s">
        <v>146</v>
      </c>
      <c r="B59" s="51" t="s">
        <v>147</v>
      </c>
      <c r="C59" s="51" t="s">
        <v>10</v>
      </c>
      <c r="D59" s="54" t="s">
        <v>22</v>
      </c>
    </row>
    <row r="60" spans="1:4" x14ac:dyDescent="0.25">
      <c r="A60" s="53" t="s">
        <v>148</v>
      </c>
      <c r="B60" s="51" t="s">
        <v>149</v>
      </c>
      <c r="C60" s="51" t="s">
        <v>21</v>
      </c>
      <c r="D60" s="54" t="s">
        <v>37</v>
      </c>
    </row>
    <row r="61" spans="1:4" x14ac:dyDescent="0.25">
      <c r="A61" s="53" t="s">
        <v>150</v>
      </c>
      <c r="B61" s="51" t="s">
        <v>151</v>
      </c>
      <c r="C61" s="51" t="s">
        <v>10</v>
      </c>
      <c r="D61" s="54" t="s">
        <v>31</v>
      </c>
    </row>
    <row r="62" spans="1:4" x14ac:dyDescent="0.25">
      <c r="A62" s="53" t="s">
        <v>152</v>
      </c>
      <c r="B62" s="51" t="s">
        <v>153</v>
      </c>
      <c r="C62" s="51" t="s">
        <v>125</v>
      </c>
      <c r="D62" s="54" t="s">
        <v>126</v>
      </c>
    </row>
    <row r="63" spans="1:4" x14ac:dyDescent="0.25">
      <c r="A63" s="53" t="s">
        <v>154</v>
      </c>
      <c r="B63" s="51" t="s">
        <v>155</v>
      </c>
      <c r="C63" s="51" t="s">
        <v>156</v>
      </c>
      <c r="D63" s="54" t="s">
        <v>26</v>
      </c>
    </row>
    <row r="64" spans="1:4" x14ac:dyDescent="0.25">
      <c r="A64" s="53" t="s">
        <v>157</v>
      </c>
      <c r="B64" s="51" t="s">
        <v>158</v>
      </c>
      <c r="C64" s="51" t="s">
        <v>159</v>
      </c>
      <c r="D64" s="54" t="s">
        <v>74</v>
      </c>
    </row>
    <row r="65" spans="1:4" x14ac:dyDescent="0.25">
      <c r="A65" s="53" t="s">
        <v>160</v>
      </c>
      <c r="B65" s="51" t="s">
        <v>161</v>
      </c>
      <c r="C65" s="51" t="s">
        <v>36</v>
      </c>
      <c r="D65" s="54" t="s">
        <v>22</v>
      </c>
    </row>
    <row r="66" spans="1:4" x14ac:dyDescent="0.25">
      <c r="A66" s="53" t="s">
        <v>162</v>
      </c>
      <c r="B66" s="51" t="s">
        <v>163</v>
      </c>
      <c r="C66" s="51" t="s">
        <v>36</v>
      </c>
      <c r="D66" s="54" t="s">
        <v>50</v>
      </c>
    </row>
    <row r="67" spans="1:4" x14ac:dyDescent="0.25">
      <c r="A67" s="53" t="s">
        <v>164</v>
      </c>
      <c r="B67" s="51" t="s">
        <v>165</v>
      </c>
      <c r="C67" s="51" t="s">
        <v>25</v>
      </c>
      <c r="D67" s="54" t="s">
        <v>166</v>
      </c>
    </row>
    <row r="68" spans="1:4" x14ac:dyDescent="0.25">
      <c r="A68" s="53" t="s">
        <v>167</v>
      </c>
      <c r="B68" s="51" t="s">
        <v>168</v>
      </c>
      <c r="C68" s="51" t="s">
        <v>21</v>
      </c>
      <c r="D68" s="54" t="s">
        <v>7</v>
      </c>
    </row>
    <row r="69" spans="1:4" x14ac:dyDescent="0.25">
      <c r="A69" s="53" t="s">
        <v>169</v>
      </c>
      <c r="B69" s="51" t="s">
        <v>170</v>
      </c>
      <c r="C69" s="51" t="s">
        <v>131</v>
      </c>
      <c r="D69" s="54" t="s">
        <v>171</v>
      </c>
    </row>
    <row r="70" spans="1:4" x14ac:dyDescent="0.25">
      <c r="A70" s="53" t="s">
        <v>172</v>
      </c>
      <c r="B70" s="51" t="s">
        <v>173</v>
      </c>
      <c r="C70" s="51" t="s">
        <v>131</v>
      </c>
      <c r="D70" s="54" t="s">
        <v>171</v>
      </c>
    </row>
    <row r="71" spans="1:4" x14ac:dyDescent="0.25">
      <c r="A71" s="53" t="s">
        <v>174</v>
      </c>
      <c r="B71" s="51" t="s">
        <v>175</v>
      </c>
      <c r="C71" s="51" t="s">
        <v>25</v>
      </c>
      <c r="D71" s="54" t="s">
        <v>102</v>
      </c>
    </row>
    <row r="72" spans="1:4" x14ac:dyDescent="0.25">
      <c r="A72" s="53" t="s">
        <v>176</v>
      </c>
      <c r="B72" s="51" t="s">
        <v>177</v>
      </c>
      <c r="C72" s="51" t="s">
        <v>6</v>
      </c>
      <c r="D72" s="54" t="s">
        <v>178</v>
      </c>
    </row>
    <row r="73" spans="1:4" x14ac:dyDescent="0.25">
      <c r="A73" s="53" t="s">
        <v>179</v>
      </c>
      <c r="B73" s="51" t="s">
        <v>180</v>
      </c>
      <c r="C73" s="51" t="s">
        <v>131</v>
      </c>
      <c r="D73" s="54" t="s">
        <v>22</v>
      </c>
    </row>
    <row r="74" spans="1:4" x14ac:dyDescent="0.25">
      <c r="A74" s="53" t="s">
        <v>181</v>
      </c>
      <c r="B74" s="51" t="s">
        <v>182</v>
      </c>
      <c r="C74" s="51" t="s">
        <v>21</v>
      </c>
      <c r="D74" s="54" t="s">
        <v>11</v>
      </c>
    </row>
    <row r="75" spans="1:4" x14ac:dyDescent="0.25">
      <c r="A75" s="53" t="s">
        <v>183</v>
      </c>
      <c r="B75" s="51" t="s">
        <v>184</v>
      </c>
      <c r="C75" s="51" t="s">
        <v>125</v>
      </c>
      <c r="D75" s="54" t="s">
        <v>37</v>
      </c>
    </row>
    <row r="76" spans="1:4" x14ac:dyDescent="0.25">
      <c r="A76" s="53" t="s">
        <v>185</v>
      </c>
      <c r="B76" s="51" t="s">
        <v>186</v>
      </c>
      <c r="C76" s="51" t="s">
        <v>10</v>
      </c>
      <c r="D76" s="54" t="s">
        <v>31</v>
      </c>
    </row>
    <row r="77" spans="1:4" x14ac:dyDescent="0.25">
      <c r="A77" s="53" t="s">
        <v>187</v>
      </c>
      <c r="B77" s="51" t="s">
        <v>188</v>
      </c>
      <c r="C77" s="51" t="s">
        <v>10</v>
      </c>
      <c r="D77" s="54" t="s">
        <v>189</v>
      </c>
    </row>
    <row r="78" spans="1:4" x14ac:dyDescent="0.25">
      <c r="A78" s="53" t="s">
        <v>190</v>
      </c>
      <c r="B78" s="51" t="s">
        <v>191</v>
      </c>
      <c r="C78" s="51" t="s">
        <v>36</v>
      </c>
      <c r="D78" s="54" t="s">
        <v>192</v>
      </c>
    </row>
    <row r="79" spans="1:4" x14ac:dyDescent="0.25">
      <c r="A79" s="53" t="s">
        <v>193</v>
      </c>
      <c r="B79" s="51" t="s">
        <v>194</v>
      </c>
      <c r="C79" s="51" t="s">
        <v>25</v>
      </c>
      <c r="D79" s="54" t="s">
        <v>102</v>
      </c>
    </row>
    <row r="80" spans="1:4" x14ac:dyDescent="0.25">
      <c r="A80" s="53" t="s">
        <v>195</v>
      </c>
      <c r="B80" s="51" t="s">
        <v>196</v>
      </c>
      <c r="C80" s="51" t="s">
        <v>21</v>
      </c>
      <c r="D80" s="54" t="s">
        <v>7</v>
      </c>
    </row>
    <row r="81" spans="1:4" x14ac:dyDescent="0.25">
      <c r="A81" s="53" t="s">
        <v>197</v>
      </c>
      <c r="B81" s="51" t="s">
        <v>198</v>
      </c>
      <c r="C81" s="51" t="s">
        <v>21</v>
      </c>
      <c r="D81" s="54" t="s">
        <v>199</v>
      </c>
    </row>
    <row r="82" spans="1:4" x14ac:dyDescent="0.25">
      <c r="A82" s="53" t="s">
        <v>200</v>
      </c>
      <c r="B82" s="51" t="s">
        <v>201</v>
      </c>
      <c r="C82" s="51" t="s">
        <v>25</v>
      </c>
      <c r="D82" s="54" t="s">
        <v>102</v>
      </c>
    </row>
    <row r="83" spans="1:4" x14ac:dyDescent="0.25">
      <c r="A83" s="53" t="s">
        <v>202</v>
      </c>
      <c r="B83" s="51" t="s">
        <v>203</v>
      </c>
      <c r="C83" s="51" t="s">
        <v>10</v>
      </c>
      <c r="D83" s="54" t="s">
        <v>31</v>
      </c>
    </row>
    <row r="84" spans="1:4" x14ac:dyDescent="0.25">
      <c r="A84" s="53" t="s">
        <v>204</v>
      </c>
      <c r="B84" s="51" t="s">
        <v>205</v>
      </c>
      <c r="C84" s="51" t="s">
        <v>10</v>
      </c>
      <c r="D84" s="54" t="s">
        <v>22</v>
      </c>
    </row>
    <row r="85" spans="1:4" x14ac:dyDescent="0.25">
      <c r="A85" s="53" t="s">
        <v>206</v>
      </c>
      <c r="B85" s="51" t="s">
        <v>207</v>
      </c>
      <c r="C85" s="51" t="s">
        <v>10</v>
      </c>
      <c r="D85" s="54" t="s">
        <v>31</v>
      </c>
    </row>
    <row r="86" spans="1:4" x14ac:dyDescent="0.25">
      <c r="A86" s="53" t="s">
        <v>208</v>
      </c>
      <c r="B86" s="51" t="s">
        <v>209</v>
      </c>
      <c r="C86" s="51" t="s">
        <v>10</v>
      </c>
      <c r="D86" s="54" t="s">
        <v>37</v>
      </c>
    </row>
    <row r="87" spans="1:4" x14ac:dyDescent="0.25">
      <c r="A87" s="53" t="s">
        <v>210</v>
      </c>
      <c r="B87" s="51" t="s">
        <v>211</v>
      </c>
      <c r="C87" s="51" t="s">
        <v>212</v>
      </c>
      <c r="D87" s="54" t="s">
        <v>40</v>
      </c>
    </row>
    <row r="88" spans="1:4" x14ac:dyDescent="0.25">
      <c r="A88" s="53" t="s">
        <v>213</v>
      </c>
      <c r="B88" s="51" t="s">
        <v>214</v>
      </c>
      <c r="C88" s="51" t="s">
        <v>156</v>
      </c>
      <c r="D88" s="54" t="s">
        <v>40</v>
      </c>
    </row>
    <row r="89" spans="1:4" x14ac:dyDescent="0.25">
      <c r="A89" s="53" t="s">
        <v>215</v>
      </c>
      <c r="B89" s="51" t="s">
        <v>216</v>
      </c>
      <c r="C89" s="51" t="s">
        <v>217</v>
      </c>
      <c r="D89" s="54" t="s">
        <v>66</v>
      </c>
    </row>
    <row r="90" spans="1:4" x14ac:dyDescent="0.25">
      <c r="A90" s="53" t="s">
        <v>218</v>
      </c>
      <c r="B90" s="51" t="s">
        <v>219</v>
      </c>
      <c r="C90" s="51" t="s">
        <v>25</v>
      </c>
      <c r="D90" s="54" t="s">
        <v>102</v>
      </c>
    </row>
    <row r="91" spans="1:4" x14ac:dyDescent="0.25">
      <c r="A91" s="53" t="s">
        <v>220</v>
      </c>
      <c r="B91" s="51" t="s">
        <v>221</v>
      </c>
      <c r="C91" s="51" t="s">
        <v>21</v>
      </c>
      <c r="D91" s="54" t="s">
        <v>222</v>
      </c>
    </row>
    <row r="92" spans="1:4" x14ac:dyDescent="0.25">
      <c r="A92" s="53" t="s">
        <v>223</v>
      </c>
      <c r="B92" s="51" t="s">
        <v>224</v>
      </c>
      <c r="C92" s="51" t="s">
        <v>212</v>
      </c>
      <c r="D92" s="54" t="s">
        <v>166</v>
      </c>
    </row>
    <row r="93" spans="1:4" x14ac:dyDescent="0.25">
      <c r="A93" s="53" t="s">
        <v>225</v>
      </c>
      <c r="B93" s="51" t="s">
        <v>226</v>
      </c>
      <c r="C93" s="51" t="s">
        <v>25</v>
      </c>
      <c r="D93" s="54" t="s">
        <v>102</v>
      </c>
    </row>
    <row r="94" spans="1:4" x14ac:dyDescent="0.25">
      <c r="A94" s="53" t="s">
        <v>227</v>
      </c>
      <c r="B94" s="51" t="s">
        <v>228</v>
      </c>
      <c r="C94" s="51" t="s">
        <v>10</v>
      </c>
      <c r="D94" s="54" t="s">
        <v>37</v>
      </c>
    </row>
    <row r="95" spans="1:4" x14ac:dyDescent="0.25">
      <c r="A95" s="53" t="s">
        <v>229</v>
      </c>
      <c r="B95" s="51" t="s">
        <v>230</v>
      </c>
      <c r="C95" s="51" t="s">
        <v>231</v>
      </c>
      <c r="D95" s="54" t="s">
        <v>232</v>
      </c>
    </row>
    <row r="96" spans="1:4" x14ac:dyDescent="0.25">
      <c r="A96" s="53" t="s">
        <v>233</v>
      </c>
      <c r="B96" s="51" t="s">
        <v>234</v>
      </c>
      <c r="C96" s="51" t="s">
        <v>10</v>
      </c>
      <c r="D96" s="54" t="s">
        <v>37</v>
      </c>
    </row>
    <row r="97" spans="1:4" x14ac:dyDescent="0.25">
      <c r="A97" s="53" t="s">
        <v>235</v>
      </c>
      <c r="B97" s="51" t="s">
        <v>236</v>
      </c>
      <c r="C97" s="51" t="s">
        <v>10</v>
      </c>
      <c r="D97" s="54" t="s">
        <v>37</v>
      </c>
    </row>
    <row r="98" spans="1:4" x14ac:dyDescent="0.25">
      <c r="A98" s="53" t="s">
        <v>237</v>
      </c>
      <c r="B98" s="51" t="s">
        <v>238</v>
      </c>
      <c r="C98" s="51" t="s">
        <v>10</v>
      </c>
      <c r="D98" s="54" t="s">
        <v>37</v>
      </c>
    </row>
    <row r="99" spans="1:4" x14ac:dyDescent="0.25">
      <c r="A99" s="53" t="s">
        <v>239</v>
      </c>
      <c r="B99" s="51" t="s">
        <v>240</v>
      </c>
      <c r="C99" s="51" t="s">
        <v>217</v>
      </c>
      <c r="D99" s="54" t="s">
        <v>26</v>
      </c>
    </row>
    <row r="100" spans="1:4" x14ac:dyDescent="0.25">
      <c r="A100" s="53" t="s">
        <v>241</v>
      </c>
      <c r="B100" s="51" t="s">
        <v>242</v>
      </c>
      <c r="C100" s="51" t="s">
        <v>131</v>
      </c>
      <c r="D100" s="54" t="s">
        <v>171</v>
      </c>
    </row>
    <row r="101" spans="1:4" x14ac:dyDescent="0.25">
      <c r="A101" s="53" t="s">
        <v>243</v>
      </c>
      <c r="B101" s="51" t="s">
        <v>244</v>
      </c>
      <c r="C101" s="51" t="s">
        <v>212</v>
      </c>
      <c r="D101" s="54" t="s">
        <v>37</v>
      </c>
    </row>
    <row r="102" spans="1:4" x14ac:dyDescent="0.25">
      <c r="A102" s="53" t="s">
        <v>245</v>
      </c>
      <c r="B102" s="51" t="s">
        <v>246</v>
      </c>
      <c r="C102" s="51" t="s">
        <v>125</v>
      </c>
      <c r="D102" s="54" t="s">
        <v>22</v>
      </c>
    </row>
    <row r="103" spans="1:4" x14ac:dyDescent="0.25">
      <c r="A103" s="53" t="s">
        <v>247</v>
      </c>
      <c r="B103" s="51" t="s">
        <v>248</v>
      </c>
      <c r="C103" s="51" t="s">
        <v>249</v>
      </c>
      <c r="D103" s="54" t="s">
        <v>26</v>
      </c>
    </row>
    <row r="104" spans="1:4" x14ac:dyDescent="0.25">
      <c r="A104" s="53" t="s">
        <v>250</v>
      </c>
      <c r="B104" s="51" t="s">
        <v>251</v>
      </c>
      <c r="C104" s="51" t="s">
        <v>10</v>
      </c>
      <c r="D104" s="54" t="s">
        <v>7</v>
      </c>
    </row>
    <row r="105" spans="1:4" x14ac:dyDescent="0.25">
      <c r="A105" s="53" t="s">
        <v>252</v>
      </c>
      <c r="B105" s="51" t="s">
        <v>253</v>
      </c>
      <c r="C105" s="51" t="s">
        <v>25</v>
      </c>
      <c r="D105" s="54" t="s">
        <v>102</v>
      </c>
    </row>
    <row r="106" spans="1:4" x14ac:dyDescent="0.25">
      <c r="A106" s="53" t="s">
        <v>254</v>
      </c>
      <c r="B106" s="51" t="s">
        <v>255</v>
      </c>
      <c r="C106" s="51" t="s">
        <v>36</v>
      </c>
      <c r="D106" s="54" t="s">
        <v>50</v>
      </c>
    </row>
    <row r="107" spans="1:4" x14ac:dyDescent="0.25">
      <c r="A107" s="53" t="s">
        <v>256</v>
      </c>
      <c r="B107" s="51" t="s">
        <v>257</v>
      </c>
      <c r="C107" s="51" t="s">
        <v>212</v>
      </c>
      <c r="D107" s="54" t="s">
        <v>258</v>
      </c>
    </row>
    <row r="108" spans="1:4" x14ac:dyDescent="0.25">
      <c r="A108" s="53" t="s">
        <v>259</v>
      </c>
      <c r="B108" s="51" t="s">
        <v>260</v>
      </c>
      <c r="C108" s="51" t="s">
        <v>131</v>
      </c>
      <c r="D108" s="54" t="s">
        <v>7</v>
      </c>
    </row>
    <row r="109" spans="1:4" x14ac:dyDescent="0.25">
      <c r="A109" s="53" t="s">
        <v>261</v>
      </c>
      <c r="B109" s="51" t="s">
        <v>262</v>
      </c>
      <c r="C109" s="51" t="s">
        <v>131</v>
      </c>
      <c r="D109" s="54" t="s">
        <v>263</v>
      </c>
    </row>
    <row r="110" spans="1:4" x14ac:dyDescent="0.25">
      <c r="A110" s="53" t="s">
        <v>264</v>
      </c>
      <c r="B110" s="51" t="s">
        <v>265</v>
      </c>
      <c r="C110" s="51" t="s">
        <v>131</v>
      </c>
      <c r="D110" s="54" t="s">
        <v>266</v>
      </c>
    </row>
    <row r="111" spans="1:4" x14ac:dyDescent="0.25">
      <c r="A111" s="53" t="s">
        <v>267</v>
      </c>
      <c r="B111" s="51" t="s">
        <v>268</v>
      </c>
      <c r="C111" s="51" t="s">
        <v>10</v>
      </c>
      <c r="D111" s="54" t="s">
        <v>31</v>
      </c>
    </row>
    <row r="112" spans="1:4" x14ac:dyDescent="0.25">
      <c r="A112" s="53" t="s">
        <v>269</v>
      </c>
      <c r="B112" s="51" t="s">
        <v>270</v>
      </c>
      <c r="C112" s="51" t="s">
        <v>36</v>
      </c>
      <c r="D112" s="54" t="s">
        <v>11</v>
      </c>
    </row>
    <row r="113" spans="1:4" x14ac:dyDescent="0.25">
      <c r="A113" s="53" t="s">
        <v>271</v>
      </c>
      <c r="B113" s="51" t="s">
        <v>272</v>
      </c>
      <c r="C113" s="51" t="s">
        <v>21</v>
      </c>
      <c r="D113" s="54" t="s">
        <v>11</v>
      </c>
    </row>
    <row r="114" spans="1:4" x14ac:dyDescent="0.25">
      <c r="A114" s="53" t="s">
        <v>273</v>
      </c>
      <c r="B114" s="51" t="s">
        <v>274</v>
      </c>
      <c r="C114" s="51" t="s">
        <v>156</v>
      </c>
      <c r="D114" s="54" t="s">
        <v>26</v>
      </c>
    </row>
    <row r="115" spans="1:4" x14ac:dyDescent="0.25">
      <c r="A115" s="53" t="s">
        <v>275</v>
      </c>
      <c r="B115" s="51" t="s">
        <v>276</v>
      </c>
      <c r="C115" s="51" t="s">
        <v>131</v>
      </c>
      <c r="D115" s="54" t="s">
        <v>26</v>
      </c>
    </row>
    <row r="116" spans="1:4" x14ac:dyDescent="0.25">
      <c r="A116" s="53" t="s">
        <v>277</v>
      </c>
      <c r="B116" s="51" t="s">
        <v>278</v>
      </c>
      <c r="C116" s="51" t="s">
        <v>21</v>
      </c>
      <c r="D116" s="54" t="s">
        <v>11</v>
      </c>
    </row>
    <row r="117" spans="1:4" x14ac:dyDescent="0.25">
      <c r="A117" s="53" t="s">
        <v>279</v>
      </c>
      <c r="B117" s="51" t="s">
        <v>280</v>
      </c>
      <c r="C117" s="51" t="s">
        <v>156</v>
      </c>
      <c r="D117" s="54" t="s">
        <v>26</v>
      </c>
    </row>
    <row r="118" spans="1:4" x14ac:dyDescent="0.25">
      <c r="A118" s="53" t="s">
        <v>281</v>
      </c>
      <c r="B118" s="51" t="s">
        <v>282</v>
      </c>
      <c r="C118" s="51" t="s">
        <v>10</v>
      </c>
      <c r="D118" s="54" t="s">
        <v>31</v>
      </c>
    </row>
    <row r="119" spans="1:4" x14ac:dyDescent="0.25">
      <c r="A119" s="53" t="s">
        <v>283</v>
      </c>
      <c r="B119" s="51" t="s">
        <v>284</v>
      </c>
      <c r="C119" s="51" t="s">
        <v>10</v>
      </c>
      <c r="D119" s="54" t="s">
        <v>37</v>
      </c>
    </row>
    <row r="120" spans="1:4" x14ac:dyDescent="0.25">
      <c r="A120" s="53" t="s">
        <v>285</v>
      </c>
      <c r="B120" s="51" t="s">
        <v>286</v>
      </c>
      <c r="C120" s="51" t="s">
        <v>10</v>
      </c>
      <c r="D120" s="54" t="s">
        <v>37</v>
      </c>
    </row>
    <row r="121" spans="1:4" x14ac:dyDescent="0.25">
      <c r="A121" s="53" t="s">
        <v>287</v>
      </c>
      <c r="B121" s="51" t="s">
        <v>288</v>
      </c>
      <c r="C121" s="51" t="s">
        <v>131</v>
      </c>
      <c r="D121" s="54" t="s">
        <v>171</v>
      </c>
    </row>
    <row r="122" spans="1:4" x14ac:dyDescent="0.25">
      <c r="A122" s="53" t="s">
        <v>289</v>
      </c>
      <c r="B122" s="51" t="s">
        <v>290</v>
      </c>
      <c r="C122" s="51" t="s">
        <v>10</v>
      </c>
      <c r="D122" s="54" t="s">
        <v>31</v>
      </c>
    </row>
    <row r="123" spans="1:4" x14ac:dyDescent="0.25">
      <c r="A123" s="53" t="s">
        <v>291</v>
      </c>
      <c r="B123" s="51" t="s">
        <v>292</v>
      </c>
      <c r="C123" s="51" t="s">
        <v>36</v>
      </c>
      <c r="D123" s="54" t="s">
        <v>50</v>
      </c>
    </row>
    <row r="124" spans="1:4" x14ac:dyDescent="0.25">
      <c r="A124" s="53" t="s">
        <v>293</v>
      </c>
      <c r="B124" s="51" t="s">
        <v>294</v>
      </c>
      <c r="C124" s="51" t="s">
        <v>10</v>
      </c>
      <c r="D124" s="54" t="s">
        <v>26</v>
      </c>
    </row>
    <row r="125" spans="1:4" x14ac:dyDescent="0.25">
      <c r="A125" s="53" t="s">
        <v>295</v>
      </c>
      <c r="B125" s="51" t="s">
        <v>296</v>
      </c>
      <c r="C125" s="51" t="s">
        <v>10</v>
      </c>
      <c r="D125" s="54" t="s">
        <v>297</v>
      </c>
    </row>
    <row r="126" spans="1:4" x14ac:dyDescent="0.25">
      <c r="A126" s="53" t="s">
        <v>298</v>
      </c>
      <c r="B126" s="51" t="s">
        <v>299</v>
      </c>
      <c r="C126" s="51" t="s">
        <v>10</v>
      </c>
      <c r="D126" s="54" t="s">
        <v>31</v>
      </c>
    </row>
    <row r="127" spans="1:4" x14ac:dyDescent="0.25">
      <c r="A127" s="53" t="s">
        <v>300</v>
      </c>
      <c r="B127" s="51" t="s">
        <v>301</v>
      </c>
      <c r="C127" s="51" t="s">
        <v>212</v>
      </c>
      <c r="D127" s="54" t="s">
        <v>26</v>
      </c>
    </row>
    <row r="128" spans="1:4" x14ac:dyDescent="0.25">
      <c r="A128" s="53" t="s">
        <v>302</v>
      </c>
      <c r="B128" s="51" t="s">
        <v>303</v>
      </c>
      <c r="C128" s="51" t="s">
        <v>10</v>
      </c>
      <c r="D128" s="54" t="s">
        <v>232</v>
      </c>
    </row>
    <row r="129" spans="1:4" x14ac:dyDescent="0.25">
      <c r="A129" s="53" t="s">
        <v>304</v>
      </c>
      <c r="B129" s="51" t="s">
        <v>305</v>
      </c>
      <c r="C129" s="51" t="s">
        <v>10</v>
      </c>
      <c r="D129" s="54" t="s">
        <v>37</v>
      </c>
    </row>
    <row r="130" spans="1:4" x14ac:dyDescent="0.25">
      <c r="A130" s="53" t="s">
        <v>306</v>
      </c>
      <c r="B130" s="51" t="s">
        <v>307</v>
      </c>
      <c r="C130" s="51" t="s">
        <v>73</v>
      </c>
      <c r="D130" s="54" t="s">
        <v>192</v>
      </c>
    </row>
    <row r="131" spans="1:4" x14ac:dyDescent="0.25">
      <c r="A131" s="53" t="s">
        <v>308</v>
      </c>
      <c r="B131" s="51" t="s">
        <v>309</v>
      </c>
      <c r="C131" s="51" t="s">
        <v>36</v>
      </c>
      <c r="D131" s="54" t="s">
        <v>50</v>
      </c>
    </row>
    <row r="132" spans="1:4" x14ac:dyDescent="0.25">
      <c r="A132" s="53" t="s">
        <v>310</v>
      </c>
      <c r="B132" s="51" t="s">
        <v>311</v>
      </c>
      <c r="C132" s="51" t="s">
        <v>10</v>
      </c>
      <c r="D132" s="54" t="s">
        <v>31</v>
      </c>
    </row>
    <row r="133" spans="1:4" x14ac:dyDescent="0.25">
      <c r="A133" s="53" t="s">
        <v>312</v>
      </c>
      <c r="B133" s="51" t="s">
        <v>313</v>
      </c>
      <c r="C133" s="51" t="s">
        <v>25</v>
      </c>
      <c r="D133" s="54" t="s">
        <v>102</v>
      </c>
    </row>
    <row r="134" spans="1:4" x14ac:dyDescent="0.25">
      <c r="A134" s="53" t="s">
        <v>314</v>
      </c>
      <c r="B134" s="51" t="s">
        <v>315</v>
      </c>
      <c r="C134" s="51" t="s">
        <v>10</v>
      </c>
      <c r="D134" s="54" t="s">
        <v>37</v>
      </c>
    </row>
    <row r="135" spans="1:4" x14ac:dyDescent="0.25">
      <c r="A135" s="53" t="s">
        <v>316</v>
      </c>
      <c r="B135" s="51" t="s">
        <v>317</v>
      </c>
      <c r="C135" s="51" t="s">
        <v>131</v>
      </c>
      <c r="D135" s="54" t="s">
        <v>192</v>
      </c>
    </row>
    <row r="136" spans="1:4" x14ac:dyDescent="0.25">
      <c r="A136" s="53" t="s">
        <v>318</v>
      </c>
      <c r="B136" s="51" t="s">
        <v>319</v>
      </c>
      <c r="C136" s="51" t="s">
        <v>25</v>
      </c>
      <c r="D136" s="54" t="s">
        <v>102</v>
      </c>
    </row>
    <row r="137" spans="1:4" x14ac:dyDescent="0.25">
      <c r="A137" s="53" t="s">
        <v>320</v>
      </c>
      <c r="B137" s="51" t="s">
        <v>321</v>
      </c>
      <c r="C137" s="51" t="s">
        <v>112</v>
      </c>
      <c r="D137" s="54" t="s">
        <v>232</v>
      </c>
    </row>
    <row r="138" spans="1:4" x14ac:dyDescent="0.25">
      <c r="A138" s="53" t="s">
        <v>322</v>
      </c>
      <c r="B138" s="51" t="s">
        <v>323</v>
      </c>
      <c r="C138" s="51" t="s">
        <v>10</v>
      </c>
      <c r="D138" s="54" t="s">
        <v>26</v>
      </c>
    </row>
    <row r="139" spans="1:4" x14ac:dyDescent="0.25">
      <c r="A139" s="53" t="s">
        <v>324</v>
      </c>
      <c r="B139" s="51" t="s">
        <v>325</v>
      </c>
      <c r="C139" s="51" t="s">
        <v>112</v>
      </c>
      <c r="D139" s="54" t="s">
        <v>11</v>
      </c>
    </row>
    <row r="140" spans="1:4" x14ac:dyDescent="0.25">
      <c r="A140" s="53" t="s">
        <v>326</v>
      </c>
      <c r="B140" s="51" t="s">
        <v>327</v>
      </c>
      <c r="C140" s="51" t="s">
        <v>17</v>
      </c>
      <c r="D140" s="54" t="s">
        <v>11</v>
      </c>
    </row>
    <row r="141" spans="1:4" x14ac:dyDescent="0.25">
      <c r="A141" s="53" t="s">
        <v>328</v>
      </c>
      <c r="B141" s="51" t="s">
        <v>329</v>
      </c>
      <c r="C141" s="51" t="s">
        <v>10</v>
      </c>
      <c r="D141" s="54" t="s">
        <v>7</v>
      </c>
    </row>
    <row r="142" spans="1:4" x14ac:dyDescent="0.25">
      <c r="A142" s="53" t="s">
        <v>330</v>
      </c>
      <c r="B142" s="51" t="s">
        <v>331</v>
      </c>
      <c r="C142" s="51" t="s">
        <v>332</v>
      </c>
      <c r="D142" s="54" t="s">
        <v>26</v>
      </c>
    </row>
    <row r="143" spans="1:4" x14ac:dyDescent="0.25">
      <c r="A143" s="53" t="s">
        <v>333</v>
      </c>
      <c r="B143" s="51" t="s">
        <v>334</v>
      </c>
      <c r="C143" s="51" t="s">
        <v>112</v>
      </c>
      <c r="D143" s="54" t="s">
        <v>45</v>
      </c>
    </row>
    <row r="144" spans="1:4" x14ac:dyDescent="0.25">
      <c r="A144" s="53" t="s">
        <v>335</v>
      </c>
      <c r="B144" s="51" t="s">
        <v>336</v>
      </c>
      <c r="C144" s="51" t="s">
        <v>10</v>
      </c>
      <c r="D144" s="54" t="s">
        <v>31</v>
      </c>
    </row>
    <row r="145" spans="1:4" x14ac:dyDescent="0.25">
      <c r="A145" s="53" t="s">
        <v>337</v>
      </c>
      <c r="B145" s="51" t="s">
        <v>338</v>
      </c>
      <c r="C145" s="51" t="s">
        <v>131</v>
      </c>
      <c r="D145" s="54" t="s">
        <v>171</v>
      </c>
    </row>
    <row r="146" spans="1:4" x14ac:dyDescent="0.25">
      <c r="A146" s="53" t="s">
        <v>339</v>
      </c>
      <c r="B146" s="51" t="s">
        <v>340</v>
      </c>
      <c r="C146" s="51" t="s">
        <v>36</v>
      </c>
      <c r="D146" s="54" t="s">
        <v>192</v>
      </c>
    </row>
    <row r="147" spans="1:4" x14ac:dyDescent="0.25">
      <c r="A147" s="53" t="s">
        <v>341</v>
      </c>
      <c r="B147" s="51" t="s">
        <v>342</v>
      </c>
      <c r="C147" s="51" t="s">
        <v>21</v>
      </c>
      <c r="D147" s="54" t="s">
        <v>11</v>
      </c>
    </row>
    <row r="148" spans="1:4" x14ac:dyDescent="0.25">
      <c r="A148" s="53" t="s">
        <v>343</v>
      </c>
      <c r="B148" s="51" t="s">
        <v>344</v>
      </c>
      <c r="C148" s="51" t="s">
        <v>10</v>
      </c>
      <c r="D148" s="54" t="s">
        <v>31</v>
      </c>
    </row>
    <row r="149" spans="1:4" x14ac:dyDescent="0.25">
      <c r="A149" s="53" t="s">
        <v>345</v>
      </c>
      <c r="B149" s="51" t="s">
        <v>346</v>
      </c>
      <c r="C149" s="51" t="s">
        <v>10</v>
      </c>
      <c r="D149" s="54" t="s">
        <v>189</v>
      </c>
    </row>
    <row r="150" spans="1:4" x14ac:dyDescent="0.25">
      <c r="A150" s="53" t="s">
        <v>347</v>
      </c>
      <c r="B150" s="51" t="s">
        <v>348</v>
      </c>
      <c r="C150" s="51" t="s">
        <v>10</v>
      </c>
      <c r="D150" s="54" t="s">
        <v>26</v>
      </c>
    </row>
    <row r="151" spans="1:4" x14ac:dyDescent="0.25">
      <c r="A151" s="53" t="s">
        <v>349</v>
      </c>
      <c r="B151" s="51" t="s">
        <v>350</v>
      </c>
      <c r="C151" s="51" t="s">
        <v>10</v>
      </c>
      <c r="D151" s="54" t="s">
        <v>351</v>
      </c>
    </row>
    <row r="152" spans="1:4" x14ac:dyDescent="0.25">
      <c r="A152" s="53" t="s">
        <v>352</v>
      </c>
      <c r="B152" s="51" t="s">
        <v>353</v>
      </c>
      <c r="C152" s="51" t="s">
        <v>10</v>
      </c>
      <c r="D152" s="54" t="s">
        <v>26</v>
      </c>
    </row>
    <row r="153" spans="1:4" x14ac:dyDescent="0.25">
      <c r="A153" s="53" t="s">
        <v>354</v>
      </c>
      <c r="B153" s="51" t="s">
        <v>355</v>
      </c>
      <c r="C153" s="51" t="s">
        <v>10</v>
      </c>
      <c r="D153" s="54" t="s">
        <v>31</v>
      </c>
    </row>
    <row r="154" spans="1:4" x14ac:dyDescent="0.25">
      <c r="A154" s="53" t="s">
        <v>356</v>
      </c>
      <c r="B154" s="51" t="s">
        <v>357</v>
      </c>
      <c r="C154" s="51" t="s">
        <v>10</v>
      </c>
      <c r="D154" s="54" t="s">
        <v>31</v>
      </c>
    </row>
    <row r="155" spans="1:4" x14ac:dyDescent="0.25">
      <c r="A155" s="53" t="s">
        <v>358</v>
      </c>
      <c r="B155" s="51" t="s">
        <v>359</v>
      </c>
      <c r="C155" s="51" t="s">
        <v>131</v>
      </c>
      <c r="D155" s="54" t="s">
        <v>266</v>
      </c>
    </row>
    <row r="156" spans="1:4" x14ac:dyDescent="0.25">
      <c r="A156" s="53" t="s">
        <v>360</v>
      </c>
      <c r="B156" s="51" t="s">
        <v>361</v>
      </c>
      <c r="C156" s="51" t="s">
        <v>131</v>
      </c>
      <c r="D156" s="54" t="s">
        <v>171</v>
      </c>
    </row>
    <row r="157" spans="1:4" x14ac:dyDescent="0.25">
      <c r="A157" s="53" t="s">
        <v>362</v>
      </c>
      <c r="B157" s="51" t="s">
        <v>363</v>
      </c>
      <c r="C157" s="51" t="s">
        <v>231</v>
      </c>
      <c r="D157" s="54" t="s">
        <v>26</v>
      </c>
    </row>
    <row r="158" spans="1:4" x14ac:dyDescent="0.25">
      <c r="A158" s="53" t="s">
        <v>364</v>
      </c>
      <c r="B158" s="51" t="s">
        <v>365</v>
      </c>
      <c r="C158" s="51" t="s">
        <v>212</v>
      </c>
      <c r="D158" s="54" t="s">
        <v>258</v>
      </c>
    </row>
    <row r="159" spans="1:4" x14ac:dyDescent="0.25">
      <c r="A159" s="53" t="s">
        <v>366</v>
      </c>
      <c r="B159" s="51" t="s">
        <v>367</v>
      </c>
      <c r="C159" s="51" t="s">
        <v>212</v>
      </c>
      <c r="D159" s="54" t="s">
        <v>258</v>
      </c>
    </row>
    <row r="160" spans="1:4" x14ac:dyDescent="0.25">
      <c r="A160" s="53" t="s">
        <v>368</v>
      </c>
      <c r="B160" s="51" t="s">
        <v>369</v>
      </c>
      <c r="C160" s="51" t="s">
        <v>10</v>
      </c>
      <c r="D160" s="54" t="s">
        <v>7</v>
      </c>
    </row>
    <row r="161" spans="1:4" x14ac:dyDescent="0.25">
      <c r="A161" s="53" t="s">
        <v>370</v>
      </c>
      <c r="B161" s="51" t="s">
        <v>371</v>
      </c>
      <c r="C161" s="51" t="s">
        <v>10</v>
      </c>
      <c r="D161" s="54" t="s">
        <v>37</v>
      </c>
    </row>
    <row r="162" spans="1:4" x14ac:dyDescent="0.25">
      <c r="A162" s="53" t="s">
        <v>372</v>
      </c>
      <c r="B162" s="51" t="s">
        <v>373</v>
      </c>
      <c r="C162" s="51" t="s">
        <v>10</v>
      </c>
      <c r="D162" s="54" t="s">
        <v>26</v>
      </c>
    </row>
    <row r="163" spans="1:4" x14ac:dyDescent="0.25">
      <c r="A163" s="53" t="s">
        <v>374</v>
      </c>
      <c r="B163" s="51" t="s">
        <v>375</v>
      </c>
      <c r="C163" s="51" t="s">
        <v>112</v>
      </c>
      <c r="D163" s="54" t="s">
        <v>26</v>
      </c>
    </row>
    <row r="164" spans="1:4" x14ac:dyDescent="0.25">
      <c r="A164" s="53" t="s">
        <v>376</v>
      </c>
      <c r="B164" s="51" t="s">
        <v>377</v>
      </c>
      <c r="C164" s="51" t="s">
        <v>10</v>
      </c>
      <c r="D164" s="54" t="s">
        <v>351</v>
      </c>
    </row>
    <row r="165" spans="1:4" x14ac:dyDescent="0.25">
      <c r="A165" s="53" t="s">
        <v>378</v>
      </c>
      <c r="B165" s="51" t="s">
        <v>379</v>
      </c>
      <c r="C165" s="51" t="s">
        <v>332</v>
      </c>
      <c r="D165" s="54" t="s">
        <v>22</v>
      </c>
    </row>
    <row r="166" spans="1:4" x14ac:dyDescent="0.25">
      <c r="A166" s="53" t="s">
        <v>380</v>
      </c>
      <c r="B166" s="51" t="s">
        <v>381</v>
      </c>
      <c r="C166" s="51" t="s">
        <v>21</v>
      </c>
      <c r="D166" s="54" t="s">
        <v>7</v>
      </c>
    </row>
    <row r="167" spans="1:4" x14ac:dyDescent="0.25">
      <c r="A167" s="53" t="s">
        <v>382</v>
      </c>
      <c r="B167" s="51" t="s">
        <v>383</v>
      </c>
      <c r="C167" s="51" t="s">
        <v>156</v>
      </c>
      <c r="D167" s="54" t="s">
        <v>26</v>
      </c>
    </row>
    <row r="168" spans="1:4" x14ac:dyDescent="0.25">
      <c r="A168" s="53" t="s">
        <v>384</v>
      </c>
      <c r="B168" s="51" t="s">
        <v>385</v>
      </c>
      <c r="C168" s="51" t="s">
        <v>36</v>
      </c>
      <c r="D168" s="54" t="s">
        <v>50</v>
      </c>
    </row>
    <row r="169" spans="1:4" x14ac:dyDescent="0.25">
      <c r="A169" s="53" t="s">
        <v>386</v>
      </c>
      <c r="B169" s="51" t="s">
        <v>387</v>
      </c>
      <c r="C169" s="51" t="s">
        <v>36</v>
      </c>
      <c r="D169" s="54" t="s">
        <v>50</v>
      </c>
    </row>
    <row r="170" spans="1:4" x14ac:dyDescent="0.25">
      <c r="A170" s="53" t="s">
        <v>388</v>
      </c>
      <c r="B170" s="51" t="s">
        <v>389</v>
      </c>
      <c r="C170" s="51" t="s">
        <v>36</v>
      </c>
      <c r="D170" s="54" t="s">
        <v>50</v>
      </c>
    </row>
    <row r="171" spans="1:4" x14ac:dyDescent="0.25">
      <c r="A171" s="53" t="s">
        <v>390</v>
      </c>
      <c r="B171" s="51" t="s">
        <v>391</v>
      </c>
      <c r="C171" s="51" t="s">
        <v>36</v>
      </c>
      <c r="D171" s="54" t="s">
        <v>50</v>
      </c>
    </row>
    <row r="172" spans="1:4" x14ac:dyDescent="0.25">
      <c r="A172" s="53" t="s">
        <v>392</v>
      </c>
      <c r="B172" s="51" t="s">
        <v>393</v>
      </c>
      <c r="C172" s="51" t="s">
        <v>212</v>
      </c>
      <c r="D172" s="54" t="s">
        <v>26</v>
      </c>
    </row>
    <row r="173" spans="1:4" x14ac:dyDescent="0.25">
      <c r="A173" s="53" t="s">
        <v>394</v>
      </c>
      <c r="B173" s="51" t="s">
        <v>395</v>
      </c>
      <c r="C173" s="51" t="s">
        <v>36</v>
      </c>
      <c r="D173" s="54" t="s">
        <v>232</v>
      </c>
    </row>
    <row r="174" spans="1:4" x14ac:dyDescent="0.25">
      <c r="A174" s="53" t="s">
        <v>396</v>
      </c>
      <c r="B174" s="51" t="s">
        <v>397</v>
      </c>
      <c r="C174" s="51" t="s">
        <v>125</v>
      </c>
      <c r="D174" s="54" t="s">
        <v>109</v>
      </c>
    </row>
    <row r="175" spans="1:4" x14ac:dyDescent="0.25">
      <c r="A175" s="53" t="s">
        <v>398</v>
      </c>
      <c r="B175" s="51" t="s">
        <v>399</v>
      </c>
      <c r="C175" s="51" t="s">
        <v>156</v>
      </c>
      <c r="D175" s="54" t="s">
        <v>400</v>
      </c>
    </row>
    <row r="176" spans="1:4" x14ac:dyDescent="0.25">
      <c r="A176" s="53" t="s">
        <v>401</v>
      </c>
      <c r="B176" s="51" t="s">
        <v>402</v>
      </c>
      <c r="C176" s="51" t="s">
        <v>25</v>
      </c>
      <c r="D176" s="54" t="s">
        <v>102</v>
      </c>
    </row>
    <row r="177" spans="1:4" x14ac:dyDescent="0.25">
      <c r="A177" s="53" t="s">
        <v>403</v>
      </c>
      <c r="B177" s="51" t="s">
        <v>404</v>
      </c>
      <c r="C177" s="51" t="s">
        <v>212</v>
      </c>
      <c r="D177" s="54" t="s">
        <v>22</v>
      </c>
    </row>
    <row r="178" spans="1:4" x14ac:dyDescent="0.25">
      <c r="A178" s="53" t="s">
        <v>405</v>
      </c>
      <c r="B178" s="51" t="s">
        <v>406</v>
      </c>
      <c r="C178" s="51" t="s">
        <v>407</v>
      </c>
      <c r="D178" s="54" t="s">
        <v>37</v>
      </c>
    </row>
    <row r="179" spans="1:4" x14ac:dyDescent="0.25">
      <c r="A179" s="53" t="s">
        <v>408</v>
      </c>
      <c r="B179" s="51" t="s">
        <v>409</v>
      </c>
      <c r="C179" s="51" t="s">
        <v>10</v>
      </c>
      <c r="D179" s="54" t="s">
        <v>31</v>
      </c>
    </row>
    <row r="180" spans="1:4" x14ac:dyDescent="0.25">
      <c r="A180" s="53" t="s">
        <v>410</v>
      </c>
      <c r="B180" s="51" t="s">
        <v>411</v>
      </c>
      <c r="C180" s="51" t="s">
        <v>10</v>
      </c>
      <c r="D180" s="54" t="s">
        <v>31</v>
      </c>
    </row>
    <row r="181" spans="1:4" x14ac:dyDescent="0.25">
      <c r="A181" s="53" t="s">
        <v>412</v>
      </c>
      <c r="B181" s="51" t="s">
        <v>413</v>
      </c>
      <c r="C181" s="51" t="s">
        <v>249</v>
      </c>
      <c r="D181" s="54" t="s">
        <v>109</v>
      </c>
    </row>
    <row r="182" spans="1:4" x14ac:dyDescent="0.25">
      <c r="A182" s="53" t="s">
        <v>414</v>
      </c>
      <c r="B182" s="51" t="s">
        <v>415</v>
      </c>
      <c r="C182" s="51" t="s">
        <v>10</v>
      </c>
      <c r="D182" s="54" t="s">
        <v>26</v>
      </c>
    </row>
    <row r="183" spans="1:4" x14ac:dyDescent="0.25">
      <c r="A183" s="53" t="s">
        <v>416</v>
      </c>
      <c r="B183" s="51" t="s">
        <v>417</v>
      </c>
      <c r="C183" s="51" t="s">
        <v>212</v>
      </c>
      <c r="D183" s="54" t="s">
        <v>37</v>
      </c>
    </row>
    <row r="184" spans="1:4" x14ac:dyDescent="0.25">
      <c r="A184" s="53" t="s">
        <v>418</v>
      </c>
      <c r="B184" s="51" t="s">
        <v>419</v>
      </c>
      <c r="C184" s="51" t="s">
        <v>6</v>
      </c>
      <c r="D184" s="54" t="s">
        <v>178</v>
      </c>
    </row>
    <row r="185" spans="1:4" x14ac:dyDescent="0.25">
      <c r="A185" s="53" t="s">
        <v>420</v>
      </c>
      <c r="B185" s="51" t="s">
        <v>421</v>
      </c>
      <c r="C185" s="51" t="s">
        <v>6</v>
      </c>
      <c r="D185" s="54" t="s">
        <v>178</v>
      </c>
    </row>
    <row r="186" spans="1:4" x14ac:dyDescent="0.25">
      <c r="A186" s="53" t="s">
        <v>422</v>
      </c>
      <c r="B186" s="51" t="s">
        <v>423</v>
      </c>
      <c r="C186" s="51" t="s">
        <v>6</v>
      </c>
      <c r="D186" s="54" t="s">
        <v>178</v>
      </c>
    </row>
    <row r="187" spans="1:4" x14ac:dyDescent="0.25">
      <c r="A187" s="53" t="s">
        <v>424</v>
      </c>
      <c r="B187" s="51" t="s">
        <v>425</v>
      </c>
      <c r="C187" s="51" t="s">
        <v>6</v>
      </c>
      <c r="D187" s="54" t="s">
        <v>178</v>
      </c>
    </row>
    <row r="188" spans="1:4" x14ac:dyDescent="0.25">
      <c r="A188" s="53" t="s">
        <v>426</v>
      </c>
      <c r="B188" s="51" t="s">
        <v>427</v>
      </c>
      <c r="C188" s="51" t="s">
        <v>6</v>
      </c>
      <c r="D188" s="54" t="s">
        <v>178</v>
      </c>
    </row>
    <row r="189" spans="1:4" x14ac:dyDescent="0.25">
      <c r="A189" s="53" t="s">
        <v>428</v>
      </c>
      <c r="B189" s="51" t="s">
        <v>429</v>
      </c>
      <c r="C189" s="51" t="s">
        <v>6</v>
      </c>
      <c r="D189" s="54" t="s">
        <v>178</v>
      </c>
    </row>
    <row r="190" spans="1:4" x14ac:dyDescent="0.25">
      <c r="A190" s="53" t="s">
        <v>430</v>
      </c>
      <c r="B190" s="51" t="s">
        <v>431</v>
      </c>
      <c r="C190" s="51" t="s">
        <v>6</v>
      </c>
      <c r="D190" s="54" t="s">
        <v>178</v>
      </c>
    </row>
    <row r="191" spans="1:4" x14ac:dyDescent="0.25">
      <c r="A191" s="53" t="s">
        <v>432</v>
      </c>
      <c r="B191" s="51" t="s">
        <v>433</v>
      </c>
      <c r="C191" s="51" t="s">
        <v>6</v>
      </c>
      <c r="D191" s="54" t="s">
        <v>178</v>
      </c>
    </row>
    <row r="192" spans="1:4" x14ac:dyDescent="0.25">
      <c r="A192" s="53" t="s">
        <v>434</v>
      </c>
      <c r="B192" s="51" t="s">
        <v>435</v>
      </c>
      <c r="C192" s="51" t="s">
        <v>212</v>
      </c>
      <c r="D192" s="54" t="s">
        <v>436</v>
      </c>
    </row>
    <row r="193" spans="1:4" x14ac:dyDescent="0.25">
      <c r="A193" s="53" t="s">
        <v>437</v>
      </c>
      <c r="B193" s="51" t="s">
        <v>438</v>
      </c>
      <c r="C193" s="51" t="s">
        <v>36</v>
      </c>
      <c r="D193" s="54" t="s">
        <v>50</v>
      </c>
    </row>
    <row r="194" spans="1:4" x14ac:dyDescent="0.25">
      <c r="A194" s="53" t="s">
        <v>439</v>
      </c>
      <c r="B194" s="51" t="s">
        <v>440</v>
      </c>
      <c r="C194" s="51" t="s">
        <v>36</v>
      </c>
      <c r="D194" s="54" t="s">
        <v>50</v>
      </c>
    </row>
    <row r="195" spans="1:4" x14ac:dyDescent="0.25">
      <c r="A195" s="53" t="s">
        <v>441</v>
      </c>
      <c r="B195" s="51" t="s">
        <v>442</v>
      </c>
      <c r="C195" s="51" t="s">
        <v>36</v>
      </c>
      <c r="D195" s="54" t="s">
        <v>26</v>
      </c>
    </row>
    <row r="196" spans="1:4" x14ac:dyDescent="0.25">
      <c r="A196" s="53" t="s">
        <v>443</v>
      </c>
      <c r="B196" s="51" t="s">
        <v>444</v>
      </c>
      <c r="C196" s="51" t="s">
        <v>445</v>
      </c>
      <c r="D196" s="54" t="s">
        <v>446</v>
      </c>
    </row>
    <row r="197" spans="1:4" x14ac:dyDescent="0.25">
      <c r="A197" s="53" t="s">
        <v>447</v>
      </c>
      <c r="B197" s="51" t="s">
        <v>448</v>
      </c>
      <c r="C197" s="51" t="s">
        <v>36</v>
      </c>
      <c r="D197" s="54" t="s">
        <v>50</v>
      </c>
    </row>
    <row r="198" spans="1:4" x14ac:dyDescent="0.25">
      <c r="A198" s="53" t="s">
        <v>449</v>
      </c>
      <c r="B198" s="51" t="s">
        <v>450</v>
      </c>
      <c r="C198" s="51" t="s">
        <v>10</v>
      </c>
      <c r="D198" s="54" t="s">
        <v>31</v>
      </c>
    </row>
    <row r="199" spans="1:4" x14ac:dyDescent="0.25">
      <c r="A199" s="53" t="s">
        <v>451</v>
      </c>
      <c r="B199" s="51" t="s">
        <v>452</v>
      </c>
      <c r="C199" s="51" t="s">
        <v>10</v>
      </c>
      <c r="D199" s="54" t="s">
        <v>31</v>
      </c>
    </row>
    <row r="200" spans="1:4" x14ac:dyDescent="0.25">
      <c r="A200" s="53" t="s">
        <v>453</v>
      </c>
      <c r="B200" s="51" t="s">
        <v>454</v>
      </c>
      <c r="C200" s="51" t="s">
        <v>36</v>
      </c>
      <c r="D200" s="54" t="s">
        <v>400</v>
      </c>
    </row>
    <row r="201" spans="1:4" x14ac:dyDescent="0.25">
      <c r="A201" s="53" t="s">
        <v>455</v>
      </c>
      <c r="B201" s="51" t="s">
        <v>456</v>
      </c>
      <c r="C201" s="51" t="s">
        <v>36</v>
      </c>
      <c r="D201" s="54" t="s">
        <v>50</v>
      </c>
    </row>
    <row r="202" spans="1:4" x14ac:dyDescent="0.25">
      <c r="A202" s="53" t="s">
        <v>457</v>
      </c>
      <c r="B202" s="51" t="s">
        <v>458</v>
      </c>
      <c r="C202" s="51" t="s">
        <v>10</v>
      </c>
      <c r="D202" s="54" t="s">
        <v>31</v>
      </c>
    </row>
    <row r="203" spans="1:4" x14ac:dyDescent="0.25">
      <c r="A203" s="53" t="s">
        <v>459</v>
      </c>
      <c r="B203" s="51" t="s">
        <v>460</v>
      </c>
      <c r="C203" s="51" t="s">
        <v>10</v>
      </c>
      <c r="D203" s="54" t="s">
        <v>31</v>
      </c>
    </row>
    <row r="204" spans="1:4" x14ac:dyDescent="0.25">
      <c r="A204" s="53" t="s">
        <v>461</v>
      </c>
      <c r="B204" s="51" t="s">
        <v>462</v>
      </c>
      <c r="C204" s="51" t="s">
        <v>10</v>
      </c>
      <c r="D204" s="54" t="s">
        <v>31</v>
      </c>
    </row>
    <row r="205" spans="1:4" x14ac:dyDescent="0.25">
      <c r="A205" s="53" t="s">
        <v>463</v>
      </c>
      <c r="B205" s="51" t="s">
        <v>464</v>
      </c>
      <c r="C205" s="51" t="s">
        <v>10</v>
      </c>
      <c r="D205" s="54" t="s">
        <v>31</v>
      </c>
    </row>
    <row r="206" spans="1:4" x14ac:dyDescent="0.25">
      <c r="A206" s="53" t="s">
        <v>465</v>
      </c>
      <c r="B206" s="51" t="s">
        <v>466</v>
      </c>
      <c r="C206" s="51" t="s">
        <v>10</v>
      </c>
      <c r="D206" s="54" t="s">
        <v>31</v>
      </c>
    </row>
    <row r="207" spans="1:4" x14ac:dyDescent="0.25">
      <c r="A207" s="53" t="s">
        <v>467</v>
      </c>
      <c r="B207" s="51" t="s">
        <v>468</v>
      </c>
      <c r="C207" s="51" t="s">
        <v>10</v>
      </c>
      <c r="D207" s="54" t="s">
        <v>31</v>
      </c>
    </row>
    <row r="208" spans="1:4" x14ac:dyDescent="0.25">
      <c r="A208" s="53" t="s">
        <v>469</v>
      </c>
      <c r="B208" s="51" t="s">
        <v>470</v>
      </c>
      <c r="C208" s="51" t="s">
        <v>10</v>
      </c>
      <c r="D208" s="54" t="s">
        <v>31</v>
      </c>
    </row>
    <row r="209" spans="1:4" x14ac:dyDescent="0.25">
      <c r="A209" s="53" t="s">
        <v>471</v>
      </c>
      <c r="B209" s="51" t="s">
        <v>472</v>
      </c>
      <c r="C209" s="51" t="s">
        <v>156</v>
      </c>
      <c r="D209" s="54" t="s">
        <v>7</v>
      </c>
    </row>
    <row r="210" spans="1:4" x14ac:dyDescent="0.25">
      <c r="A210" s="53" t="s">
        <v>473</v>
      </c>
      <c r="B210" s="51" t="s">
        <v>474</v>
      </c>
      <c r="C210" s="51" t="s">
        <v>10</v>
      </c>
      <c r="D210" s="54" t="s">
        <v>31</v>
      </c>
    </row>
    <row r="211" spans="1:4" x14ac:dyDescent="0.25">
      <c r="A211" s="53" t="s">
        <v>475</v>
      </c>
      <c r="B211" s="51" t="s">
        <v>476</v>
      </c>
      <c r="C211" s="51" t="s">
        <v>36</v>
      </c>
      <c r="D211" s="54" t="s">
        <v>50</v>
      </c>
    </row>
    <row r="212" spans="1:4" x14ac:dyDescent="0.25">
      <c r="A212" s="53" t="s">
        <v>477</v>
      </c>
      <c r="B212" s="51" t="s">
        <v>478</v>
      </c>
      <c r="C212" s="51" t="s">
        <v>10</v>
      </c>
      <c r="D212" s="54" t="s">
        <v>31</v>
      </c>
    </row>
    <row r="213" spans="1:4" x14ac:dyDescent="0.25">
      <c r="A213" s="53" t="s">
        <v>479</v>
      </c>
      <c r="B213" s="51" t="s">
        <v>480</v>
      </c>
      <c r="C213" s="51" t="s">
        <v>125</v>
      </c>
      <c r="D213" s="54" t="s">
        <v>126</v>
      </c>
    </row>
    <row r="214" spans="1:4" x14ac:dyDescent="0.25">
      <c r="A214" s="53" t="s">
        <v>481</v>
      </c>
      <c r="B214" s="51" t="s">
        <v>482</v>
      </c>
      <c r="C214" s="51" t="s">
        <v>156</v>
      </c>
      <c r="D214" s="54" t="s">
        <v>40</v>
      </c>
    </row>
    <row r="215" spans="1:4" x14ac:dyDescent="0.25">
      <c r="A215" s="53" t="s">
        <v>483</v>
      </c>
      <c r="B215" s="51" t="s">
        <v>484</v>
      </c>
      <c r="C215" s="51" t="s">
        <v>10</v>
      </c>
      <c r="D215" s="54" t="s">
        <v>74</v>
      </c>
    </row>
    <row r="216" spans="1:4" x14ac:dyDescent="0.25">
      <c r="A216" s="53" t="s">
        <v>485</v>
      </c>
      <c r="B216" s="51" t="s">
        <v>486</v>
      </c>
      <c r="C216" s="51" t="s">
        <v>10</v>
      </c>
      <c r="D216" s="54" t="s">
        <v>31</v>
      </c>
    </row>
    <row r="217" spans="1:4" x14ac:dyDescent="0.25">
      <c r="A217" s="53" t="s">
        <v>487</v>
      </c>
      <c r="B217" s="51" t="s">
        <v>488</v>
      </c>
      <c r="C217" s="51" t="s">
        <v>10</v>
      </c>
      <c r="D217" s="54" t="s">
        <v>31</v>
      </c>
    </row>
    <row r="218" spans="1:4" x14ac:dyDescent="0.25">
      <c r="A218" s="53" t="s">
        <v>489</v>
      </c>
      <c r="B218" s="51" t="s">
        <v>490</v>
      </c>
      <c r="C218" s="51" t="s">
        <v>10</v>
      </c>
      <c r="D218" s="54" t="s">
        <v>31</v>
      </c>
    </row>
    <row r="219" spans="1:4" x14ac:dyDescent="0.25">
      <c r="A219" s="53" t="s">
        <v>491</v>
      </c>
      <c r="B219" s="51" t="s">
        <v>492</v>
      </c>
      <c r="C219" s="51" t="s">
        <v>10</v>
      </c>
      <c r="D219" s="54" t="s">
        <v>31</v>
      </c>
    </row>
    <row r="220" spans="1:4" x14ac:dyDescent="0.25">
      <c r="A220" s="53" t="s">
        <v>493</v>
      </c>
      <c r="B220" s="51" t="s">
        <v>494</v>
      </c>
      <c r="C220" s="51" t="s">
        <v>212</v>
      </c>
      <c r="D220" s="54" t="s">
        <v>26</v>
      </c>
    </row>
    <row r="221" spans="1:4" x14ac:dyDescent="0.25">
      <c r="A221" s="53" t="s">
        <v>495</v>
      </c>
      <c r="B221" s="51" t="s">
        <v>496</v>
      </c>
      <c r="C221" s="51" t="s">
        <v>407</v>
      </c>
      <c r="D221" s="54" t="s">
        <v>11</v>
      </c>
    </row>
    <row r="222" spans="1:4" x14ac:dyDescent="0.25">
      <c r="A222" s="53" t="s">
        <v>497</v>
      </c>
      <c r="B222" s="51" t="s">
        <v>498</v>
      </c>
      <c r="C222" s="51" t="s">
        <v>25</v>
      </c>
      <c r="D222" s="54" t="s">
        <v>11</v>
      </c>
    </row>
    <row r="223" spans="1:4" x14ac:dyDescent="0.25">
      <c r="A223" s="53" t="s">
        <v>499</v>
      </c>
      <c r="B223" s="51" t="s">
        <v>500</v>
      </c>
      <c r="C223" s="51" t="s">
        <v>10</v>
      </c>
      <c r="D223" s="54" t="s">
        <v>31</v>
      </c>
    </row>
    <row r="224" spans="1:4" x14ac:dyDescent="0.25">
      <c r="A224" s="53" t="s">
        <v>501</v>
      </c>
      <c r="B224" s="51" t="s">
        <v>502</v>
      </c>
      <c r="C224" s="51" t="s">
        <v>125</v>
      </c>
      <c r="D224" s="54" t="s">
        <v>126</v>
      </c>
    </row>
    <row r="225" spans="1:4" x14ac:dyDescent="0.25">
      <c r="A225" s="53" t="s">
        <v>503</v>
      </c>
      <c r="B225" s="51" t="s">
        <v>504</v>
      </c>
      <c r="C225" s="51" t="s">
        <v>10</v>
      </c>
      <c r="D225" s="54" t="s">
        <v>297</v>
      </c>
    </row>
    <row r="226" spans="1:4" x14ac:dyDescent="0.25">
      <c r="A226" s="53" t="s">
        <v>505</v>
      </c>
      <c r="B226" s="51" t="s">
        <v>506</v>
      </c>
      <c r="C226" s="51" t="s">
        <v>10</v>
      </c>
      <c r="D226" s="54" t="s">
        <v>31</v>
      </c>
    </row>
    <row r="227" spans="1:4" x14ac:dyDescent="0.25">
      <c r="A227" s="53" t="s">
        <v>507</v>
      </c>
      <c r="B227" s="51" t="s">
        <v>508</v>
      </c>
      <c r="C227" s="51" t="s">
        <v>10</v>
      </c>
      <c r="D227" s="54" t="s">
        <v>297</v>
      </c>
    </row>
    <row r="228" spans="1:4" x14ac:dyDescent="0.25">
      <c r="A228" s="53" t="s">
        <v>509</v>
      </c>
      <c r="B228" s="51" t="s">
        <v>510</v>
      </c>
      <c r="C228" s="51" t="s">
        <v>14</v>
      </c>
      <c r="D228" s="54" t="s">
        <v>511</v>
      </c>
    </row>
    <row r="229" spans="1:4" x14ac:dyDescent="0.25">
      <c r="A229" s="53" t="s">
        <v>512</v>
      </c>
      <c r="B229" s="51" t="s">
        <v>513</v>
      </c>
      <c r="C229" s="51" t="s">
        <v>14</v>
      </c>
      <c r="D229" s="54" t="s">
        <v>11</v>
      </c>
    </row>
    <row r="230" spans="1:4" x14ac:dyDescent="0.25">
      <c r="A230" s="53" t="s">
        <v>514</v>
      </c>
      <c r="B230" s="51" t="s">
        <v>515</v>
      </c>
      <c r="C230" s="51" t="s">
        <v>10</v>
      </c>
      <c r="D230" s="54" t="s">
        <v>351</v>
      </c>
    </row>
    <row r="231" spans="1:4" x14ac:dyDescent="0.25">
      <c r="A231" s="53" t="s">
        <v>516</v>
      </c>
      <c r="B231" s="51" t="s">
        <v>517</v>
      </c>
      <c r="C231" s="51" t="s">
        <v>445</v>
      </c>
      <c r="D231" s="54" t="s">
        <v>518</v>
      </c>
    </row>
    <row r="232" spans="1:4" x14ac:dyDescent="0.25">
      <c r="A232" s="53" t="s">
        <v>519</v>
      </c>
      <c r="B232" s="51" t="s">
        <v>520</v>
      </c>
      <c r="C232" s="51" t="s">
        <v>10</v>
      </c>
      <c r="D232" s="54" t="s">
        <v>31</v>
      </c>
    </row>
    <row r="233" spans="1:4" x14ac:dyDescent="0.25">
      <c r="A233" s="53" t="s">
        <v>521</v>
      </c>
      <c r="B233" s="51" t="s">
        <v>522</v>
      </c>
      <c r="C233" s="51" t="s">
        <v>212</v>
      </c>
      <c r="D233" s="54" t="s">
        <v>436</v>
      </c>
    </row>
    <row r="234" spans="1:4" x14ac:dyDescent="0.25">
      <c r="A234" s="53" t="s">
        <v>523</v>
      </c>
      <c r="B234" s="51" t="s">
        <v>524</v>
      </c>
      <c r="C234" s="51" t="s">
        <v>10</v>
      </c>
      <c r="D234" s="54" t="s">
        <v>31</v>
      </c>
    </row>
    <row r="235" spans="1:4" x14ac:dyDescent="0.25">
      <c r="A235" s="53" t="s">
        <v>525</v>
      </c>
      <c r="B235" s="51" t="s">
        <v>526</v>
      </c>
      <c r="C235" s="51" t="s">
        <v>212</v>
      </c>
      <c r="D235" s="54" t="s">
        <v>26</v>
      </c>
    </row>
    <row r="236" spans="1:4" x14ac:dyDescent="0.25">
      <c r="A236" s="53" t="s">
        <v>527</v>
      </c>
      <c r="B236" s="51" t="s">
        <v>528</v>
      </c>
      <c r="C236" s="51" t="s">
        <v>10</v>
      </c>
      <c r="D236" s="54" t="s">
        <v>31</v>
      </c>
    </row>
    <row r="237" spans="1:4" x14ac:dyDescent="0.25">
      <c r="A237" s="53" t="s">
        <v>529</v>
      </c>
      <c r="B237" s="51" t="s">
        <v>530</v>
      </c>
      <c r="C237" s="51" t="s">
        <v>10</v>
      </c>
      <c r="D237" s="54" t="s">
        <v>31</v>
      </c>
    </row>
    <row r="238" spans="1:4" x14ac:dyDescent="0.25">
      <c r="A238" s="53" t="s">
        <v>531</v>
      </c>
      <c r="B238" s="51" t="s">
        <v>532</v>
      </c>
      <c r="C238" s="51" t="s">
        <v>10</v>
      </c>
      <c r="D238" s="54" t="s">
        <v>31</v>
      </c>
    </row>
    <row r="239" spans="1:4" x14ac:dyDescent="0.25">
      <c r="A239" s="53" t="s">
        <v>533</v>
      </c>
      <c r="B239" s="51" t="s">
        <v>534</v>
      </c>
      <c r="C239" s="51" t="s">
        <v>10</v>
      </c>
      <c r="D239" s="54" t="s">
        <v>31</v>
      </c>
    </row>
    <row r="240" spans="1:4" x14ac:dyDescent="0.25">
      <c r="A240" s="53" t="s">
        <v>535</v>
      </c>
      <c r="B240" s="51" t="s">
        <v>536</v>
      </c>
      <c r="C240" s="51" t="s">
        <v>10</v>
      </c>
      <c r="D240" s="54" t="s">
        <v>31</v>
      </c>
    </row>
    <row r="241" spans="1:4" x14ac:dyDescent="0.25">
      <c r="A241" s="53" t="s">
        <v>537</v>
      </c>
      <c r="B241" s="51" t="s">
        <v>538</v>
      </c>
      <c r="C241" s="51" t="s">
        <v>10</v>
      </c>
      <c r="D241" s="54" t="s">
        <v>31</v>
      </c>
    </row>
    <row r="242" spans="1:4" x14ac:dyDescent="0.25">
      <c r="A242" s="53" t="s">
        <v>539</v>
      </c>
      <c r="B242" s="51" t="s">
        <v>540</v>
      </c>
      <c r="C242" s="51" t="s">
        <v>10</v>
      </c>
      <c r="D242" s="54" t="s">
        <v>31</v>
      </c>
    </row>
    <row r="243" spans="1:4" x14ac:dyDescent="0.25">
      <c r="A243" s="58" t="s">
        <v>541</v>
      </c>
      <c r="B243" s="59" t="s">
        <v>542</v>
      </c>
      <c r="C243" s="59" t="s">
        <v>10</v>
      </c>
      <c r="D243" s="60" t="s">
        <v>31</v>
      </c>
    </row>
    <row r="244" spans="1:4" x14ac:dyDescent="0.25">
      <c r="A244" s="53" t="s">
        <v>543</v>
      </c>
      <c r="B244" s="51" t="s">
        <v>544</v>
      </c>
      <c r="C244" s="51" t="s">
        <v>10</v>
      </c>
      <c r="D244" s="54" t="s">
        <v>31</v>
      </c>
    </row>
    <row r="245" spans="1:4" x14ac:dyDescent="0.25">
      <c r="A245" s="53" t="s">
        <v>545</v>
      </c>
      <c r="B245" s="51" t="s">
        <v>546</v>
      </c>
      <c r="C245" s="51" t="s">
        <v>10</v>
      </c>
      <c r="D245" s="54" t="s">
        <v>31</v>
      </c>
    </row>
    <row r="246" spans="1:4" x14ac:dyDescent="0.25">
      <c r="A246" s="53" t="s">
        <v>547</v>
      </c>
      <c r="B246" s="51" t="s">
        <v>548</v>
      </c>
      <c r="C246" s="51" t="s">
        <v>125</v>
      </c>
      <c r="D246" s="54" t="s">
        <v>126</v>
      </c>
    </row>
    <row r="247" spans="1:4" x14ac:dyDescent="0.25">
      <c r="A247" s="53" t="s">
        <v>549</v>
      </c>
      <c r="B247" s="51" t="s">
        <v>550</v>
      </c>
      <c r="C247" s="51" t="s">
        <v>36</v>
      </c>
      <c r="D247" s="54" t="s">
        <v>50</v>
      </c>
    </row>
    <row r="248" spans="1:4" x14ac:dyDescent="0.25">
      <c r="A248" s="53" t="s">
        <v>551</v>
      </c>
      <c r="B248" s="51" t="s">
        <v>552</v>
      </c>
      <c r="C248" s="51" t="s">
        <v>10</v>
      </c>
      <c r="D248" s="54" t="s">
        <v>31</v>
      </c>
    </row>
    <row r="249" spans="1:4" x14ac:dyDescent="0.25">
      <c r="A249" s="53" t="s">
        <v>553</v>
      </c>
      <c r="B249" s="51" t="s">
        <v>554</v>
      </c>
      <c r="C249" s="51" t="s">
        <v>10</v>
      </c>
      <c r="D249" s="54" t="s">
        <v>351</v>
      </c>
    </row>
    <row r="250" spans="1:4" x14ac:dyDescent="0.25">
      <c r="A250" s="53" t="s">
        <v>555</v>
      </c>
      <c r="B250" s="51" t="s">
        <v>556</v>
      </c>
      <c r="C250" s="51" t="s">
        <v>407</v>
      </c>
      <c r="D250" s="54" t="s">
        <v>11</v>
      </c>
    </row>
    <row r="251" spans="1:4" x14ac:dyDescent="0.25">
      <c r="A251" s="53" t="s">
        <v>557</v>
      </c>
      <c r="B251" s="51" t="s">
        <v>558</v>
      </c>
      <c r="C251" s="51" t="s">
        <v>10</v>
      </c>
      <c r="D251" s="54" t="s">
        <v>31</v>
      </c>
    </row>
    <row r="252" spans="1:4" x14ac:dyDescent="0.25">
      <c r="A252" s="53" t="s">
        <v>559</v>
      </c>
      <c r="B252" s="51" t="s">
        <v>560</v>
      </c>
      <c r="C252" s="51" t="s">
        <v>10</v>
      </c>
      <c r="D252" s="54" t="s">
        <v>232</v>
      </c>
    </row>
    <row r="253" spans="1:4" x14ac:dyDescent="0.25">
      <c r="A253" s="53" t="s">
        <v>561</v>
      </c>
      <c r="B253" s="51" t="s">
        <v>562</v>
      </c>
      <c r="C253" s="51" t="s">
        <v>10</v>
      </c>
      <c r="D253" s="54" t="s">
        <v>31</v>
      </c>
    </row>
    <row r="254" spans="1:4" x14ac:dyDescent="0.25">
      <c r="A254" s="53" t="s">
        <v>563</v>
      </c>
      <c r="B254" s="51" t="s">
        <v>564</v>
      </c>
      <c r="C254" s="51" t="s">
        <v>10</v>
      </c>
      <c r="D254" s="54" t="s">
        <v>31</v>
      </c>
    </row>
    <row r="255" spans="1:4" x14ac:dyDescent="0.25">
      <c r="A255" s="53" t="s">
        <v>565</v>
      </c>
      <c r="B255" s="51" t="s">
        <v>566</v>
      </c>
      <c r="C255" s="51" t="s">
        <v>10</v>
      </c>
      <c r="D255" s="54" t="s">
        <v>31</v>
      </c>
    </row>
    <row r="256" spans="1:4" x14ac:dyDescent="0.25">
      <c r="A256" s="53" t="s">
        <v>567</v>
      </c>
      <c r="B256" s="51" t="s">
        <v>568</v>
      </c>
      <c r="C256" s="51" t="s">
        <v>10</v>
      </c>
      <c r="D256" s="54" t="s">
        <v>31</v>
      </c>
    </row>
    <row r="257" spans="1:4" x14ac:dyDescent="0.25">
      <c r="A257" s="53" t="s">
        <v>569</v>
      </c>
      <c r="B257" s="51" t="s">
        <v>570</v>
      </c>
      <c r="C257" s="51" t="s">
        <v>10</v>
      </c>
      <c r="D257" s="54" t="s">
        <v>31</v>
      </c>
    </row>
    <row r="258" spans="1:4" x14ac:dyDescent="0.25">
      <c r="A258" s="53" t="s">
        <v>571</v>
      </c>
      <c r="B258" s="51" t="s">
        <v>572</v>
      </c>
      <c r="C258" s="51" t="s">
        <v>10</v>
      </c>
      <c r="D258" s="54" t="s">
        <v>31</v>
      </c>
    </row>
    <row r="259" spans="1:4" x14ac:dyDescent="0.25">
      <c r="A259" s="53" t="s">
        <v>573</v>
      </c>
      <c r="B259" s="51" t="s">
        <v>574</v>
      </c>
      <c r="C259" s="51" t="s">
        <v>10</v>
      </c>
      <c r="D259" s="54" t="s">
        <v>31</v>
      </c>
    </row>
    <row r="260" spans="1:4" x14ac:dyDescent="0.25">
      <c r="A260" s="53" t="s">
        <v>575</v>
      </c>
      <c r="B260" s="51" t="s">
        <v>576</v>
      </c>
      <c r="C260" s="51" t="s">
        <v>10</v>
      </c>
      <c r="D260" s="54" t="s">
        <v>31</v>
      </c>
    </row>
    <row r="261" spans="1:4" x14ac:dyDescent="0.25">
      <c r="A261" s="53" t="s">
        <v>577</v>
      </c>
      <c r="B261" s="51" t="s">
        <v>578</v>
      </c>
      <c r="C261" s="51" t="s">
        <v>10</v>
      </c>
      <c r="D261" s="54" t="s">
        <v>31</v>
      </c>
    </row>
    <row r="262" spans="1:4" x14ac:dyDescent="0.25">
      <c r="A262" s="53" t="s">
        <v>579</v>
      </c>
      <c r="B262" s="51" t="s">
        <v>580</v>
      </c>
      <c r="C262" s="51" t="s">
        <v>10</v>
      </c>
      <c r="D262" s="54" t="s">
        <v>31</v>
      </c>
    </row>
    <row r="263" spans="1:4" x14ac:dyDescent="0.25">
      <c r="A263" s="53" t="s">
        <v>581</v>
      </c>
      <c r="B263" s="51" t="s">
        <v>582</v>
      </c>
      <c r="C263" s="51" t="s">
        <v>10</v>
      </c>
      <c r="D263" s="54" t="s">
        <v>31</v>
      </c>
    </row>
    <row r="264" spans="1:4" x14ac:dyDescent="0.25">
      <c r="A264" s="53" t="s">
        <v>583</v>
      </c>
      <c r="B264" s="51" t="s">
        <v>584</v>
      </c>
      <c r="C264" s="51" t="s">
        <v>10</v>
      </c>
      <c r="D264" s="54" t="s">
        <v>31</v>
      </c>
    </row>
    <row r="265" spans="1:4" x14ac:dyDescent="0.25">
      <c r="A265" s="53" t="s">
        <v>585</v>
      </c>
      <c r="B265" s="51" t="s">
        <v>586</v>
      </c>
      <c r="C265" s="51" t="s">
        <v>10</v>
      </c>
      <c r="D265" s="54" t="s">
        <v>31</v>
      </c>
    </row>
    <row r="266" spans="1:4" x14ac:dyDescent="0.25">
      <c r="A266" s="53" t="s">
        <v>587</v>
      </c>
      <c r="B266" s="51" t="s">
        <v>588</v>
      </c>
      <c r="C266" s="51" t="s">
        <v>21</v>
      </c>
      <c r="D266" s="54" t="s">
        <v>11</v>
      </c>
    </row>
    <row r="267" spans="1:4" x14ac:dyDescent="0.25">
      <c r="A267" s="53" t="s">
        <v>589</v>
      </c>
      <c r="B267" s="51" t="s">
        <v>590</v>
      </c>
      <c r="C267" s="51" t="s">
        <v>131</v>
      </c>
      <c r="D267" s="54" t="s">
        <v>591</v>
      </c>
    </row>
    <row r="268" spans="1:4" x14ac:dyDescent="0.25">
      <c r="A268" s="53" t="s">
        <v>592</v>
      </c>
      <c r="B268" s="51" t="s">
        <v>593</v>
      </c>
      <c r="C268" s="51" t="s">
        <v>10</v>
      </c>
      <c r="D268" s="54" t="s">
        <v>31</v>
      </c>
    </row>
    <row r="269" spans="1:4" x14ac:dyDescent="0.25">
      <c r="A269" s="53" t="s">
        <v>594</v>
      </c>
      <c r="B269" s="51" t="s">
        <v>595</v>
      </c>
      <c r="C269" s="51" t="s">
        <v>10</v>
      </c>
      <c r="D269" s="54" t="s">
        <v>31</v>
      </c>
    </row>
    <row r="270" spans="1:4" x14ac:dyDescent="0.25">
      <c r="A270" s="53" t="s">
        <v>596</v>
      </c>
      <c r="B270" s="51" t="s">
        <v>597</v>
      </c>
      <c r="C270" s="51" t="s">
        <v>17</v>
      </c>
      <c r="D270" s="54" t="s">
        <v>40</v>
      </c>
    </row>
    <row r="271" spans="1:4" x14ac:dyDescent="0.25">
      <c r="A271" s="53" t="s">
        <v>598</v>
      </c>
      <c r="B271" s="51" t="s">
        <v>599</v>
      </c>
      <c r="C271" s="51" t="s">
        <v>25</v>
      </c>
      <c r="D271" s="54" t="s">
        <v>102</v>
      </c>
    </row>
    <row r="272" spans="1:4" x14ac:dyDescent="0.25">
      <c r="A272" s="53" t="s">
        <v>600</v>
      </c>
      <c r="B272" s="51" t="s">
        <v>601</v>
      </c>
      <c r="C272" s="51" t="s">
        <v>10</v>
      </c>
      <c r="D272" s="54" t="s">
        <v>31</v>
      </c>
    </row>
    <row r="273" spans="1:4" x14ac:dyDescent="0.25">
      <c r="A273" s="53" t="s">
        <v>602</v>
      </c>
      <c r="B273" s="51" t="s">
        <v>603</v>
      </c>
      <c r="C273" s="51" t="s">
        <v>10</v>
      </c>
      <c r="D273" s="54" t="s">
        <v>31</v>
      </c>
    </row>
    <row r="274" spans="1:4" x14ac:dyDescent="0.25">
      <c r="A274" s="53" t="s">
        <v>604</v>
      </c>
      <c r="B274" s="51" t="s">
        <v>605</v>
      </c>
      <c r="C274" s="51" t="s">
        <v>36</v>
      </c>
      <c r="D274" s="54" t="s">
        <v>50</v>
      </c>
    </row>
    <row r="275" spans="1:4" x14ac:dyDescent="0.25">
      <c r="A275" s="53" t="s">
        <v>606</v>
      </c>
      <c r="B275" s="51" t="s">
        <v>607</v>
      </c>
      <c r="C275" s="51" t="s">
        <v>36</v>
      </c>
      <c r="D275" s="54" t="s">
        <v>26</v>
      </c>
    </row>
    <row r="276" spans="1:4" x14ac:dyDescent="0.25">
      <c r="A276" s="53" t="s">
        <v>608</v>
      </c>
      <c r="B276" s="51" t="s">
        <v>609</v>
      </c>
      <c r="C276" s="51" t="s">
        <v>36</v>
      </c>
      <c r="D276" s="54" t="s">
        <v>50</v>
      </c>
    </row>
    <row r="277" spans="1:4" x14ac:dyDescent="0.25">
      <c r="A277" s="58" t="s">
        <v>610</v>
      </c>
      <c r="B277" s="59" t="s">
        <v>611</v>
      </c>
      <c r="C277" s="59" t="s">
        <v>612</v>
      </c>
      <c r="D277" s="60" t="s">
        <v>613</v>
      </c>
    </row>
    <row r="278" spans="1:4" x14ac:dyDescent="0.25">
      <c r="A278" s="65" t="s">
        <v>614</v>
      </c>
      <c r="B278" s="51" t="s">
        <v>615</v>
      </c>
      <c r="C278" s="51" t="s">
        <v>14</v>
      </c>
      <c r="D278" s="54" t="s">
        <v>232</v>
      </c>
    </row>
    <row r="279" spans="1:4" x14ac:dyDescent="0.25">
      <c r="A279" s="65" t="s">
        <v>616</v>
      </c>
      <c r="B279" s="51" t="s">
        <v>617</v>
      </c>
      <c r="C279" s="51" t="s">
        <v>36</v>
      </c>
      <c r="D279" s="54" t="s">
        <v>50</v>
      </c>
    </row>
    <row r="280" spans="1:4" x14ac:dyDescent="0.25">
      <c r="A280" s="65" t="s">
        <v>618</v>
      </c>
      <c r="B280" s="51" t="s">
        <v>619</v>
      </c>
      <c r="C280" s="51" t="s">
        <v>212</v>
      </c>
      <c r="D280" s="54" t="s">
        <v>109</v>
      </c>
    </row>
    <row r="281" spans="1:4" x14ac:dyDescent="0.25">
      <c r="A281" s="2" t="s">
        <v>620</v>
      </c>
      <c r="B281" s="2" t="s">
        <v>621</v>
      </c>
      <c r="C281" s="2" t="s">
        <v>10</v>
      </c>
      <c r="D281" s="2" t="s">
        <v>31</v>
      </c>
    </row>
    <row r="282" spans="1:4" x14ac:dyDescent="0.25">
      <c r="A282" s="65" t="s">
        <v>622</v>
      </c>
      <c r="B282" s="51" t="s">
        <v>623</v>
      </c>
      <c r="C282" s="51" t="s">
        <v>10</v>
      </c>
      <c r="D282" s="54" t="s">
        <v>31</v>
      </c>
    </row>
    <row r="283" spans="1:4" x14ac:dyDescent="0.25">
      <c r="A283" s="65" t="s">
        <v>624</v>
      </c>
      <c r="B283" s="51" t="s">
        <v>625</v>
      </c>
      <c r="C283" s="51" t="s">
        <v>10</v>
      </c>
      <c r="D283" s="54" t="s">
        <v>31</v>
      </c>
    </row>
    <row r="284" spans="1:4" x14ac:dyDescent="0.25">
      <c r="A284" s="65" t="s">
        <v>626</v>
      </c>
      <c r="B284" s="51" t="s">
        <v>627</v>
      </c>
      <c r="C284" s="51" t="s">
        <v>10</v>
      </c>
      <c r="D284" s="54" t="s">
        <v>31</v>
      </c>
    </row>
    <row r="285" spans="1:4" x14ac:dyDescent="0.25">
      <c r="A285" s="65" t="s">
        <v>628</v>
      </c>
      <c r="B285" s="51" t="s">
        <v>629</v>
      </c>
      <c r="C285" s="51" t="s">
        <v>10</v>
      </c>
      <c r="D285" s="54" t="s">
        <v>31</v>
      </c>
    </row>
    <row r="286" spans="1:4" x14ac:dyDescent="0.25">
      <c r="A286" s="65" t="s">
        <v>630</v>
      </c>
      <c r="B286" s="51" t="s">
        <v>631</v>
      </c>
      <c r="C286" s="51" t="s">
        <v>10</v>
      </c>
      <c r="D286" s="54" t="s">
        <v>31</v>
      </c>
    </row>
    <row r="287" spans="1:4" x14ac:dyDescent="0.25">
      <c r="A287" s="65" t="s">
        <v>632</v>
      </c>
      <c r="B287" s="51" t="s">
        <v>633</v>
      </c>
      <c r="C287" s="51" t="s">
        <v>10</v>
      </c>
      <c r="D287" s="54" t="s">
        <v>31</v>
      </c>
    </row>
    <row r="288" spans="1:4" x14ac:dyDescent="0.25">
      <c r="A288" s="65" t="s">
        <v>634</v>
      </c>
      <c r="B288" s="51" t="s">
        <v>635</v>
      </c>
      <c r="C288" s="51" t="s">
        <v>10</v>
      </c>
      <c r="D288" s="54" t="s">
        <v>31</v>
      </c>
    </row>
    <row r="289" spans="1:4" x14ac:dyDescent="0.25">
      <c r="A289" s="65" t="s">
        <v>636</v>
      </c>
      <c r="B289" s="51" t="s">
        <v>637</v>
      </c>
      <c r="C289" s="51" t="s">
        <v>17</v>
      </c>
      <c r="D289" s="54" t="s">
        <v>11</v>
      </c>
    </row>
    <row r="290" spans="1:4" x14ac:dyDescent="0.25">
      <c r="A290" s="65" t="s">
        <v>638</v>
      </c>
      <c r="B290" s="51" t="s">
        <v>639</v>
      </c>
      <c r="C290" s="51" t="s">
        <v>231</v>
      </c>
      <c r="D290" s="54" t="s">
        <v>591</v>
      </c>
    </row>
    <row r="291" spans="1:4" x14ac:dyDescent="0.25">
      <c r="A291" s="65" t="s">
        <v>1439</v>
      </c>
      <c r="B291" s="51" t="s">
        <v>1440</v>
      </c>
      <c r="C291" s="51" t="s">
        <v>10</v>
      </c>
      <c r="D291" s="54" t="s">
        <v>591</v>
      </c>
    </row>
    <row r="292" spans="1:4" x14ac:dyDescent="0.25">
      <c r="A292" s="53" t="s">
        <v>1441</v>
      </c>
      <c r="B292" s="51" t="s">
        <v>1442</v>
      </c>
      <c r="C292" s="51" t="s">
        <v>445</v>
      </c>
      <c r="D292" s="54" t="s">
        <v>445</v>
      </c>
    </row>
    <row r="293" spans="1:4" x14ac:dyDescent="0.25">
      <c r="A293" s="53" t="s">
        <v>1443</v>
      </c>
      <c r="B293" s="51" t="s">
        <v>1444</v>
      </c>
      <c r="C293" s="51" t="s">
        <v>217</v>
      </c>
      <c r="D293" s="54" t="s">
        <v>232</v>
      </c>
    </row>
    <row r="294" spans="1:4" x14ac:dyDescent="0.25">
      <c r="A294" s="53" t="s">
        <v>1448</v>
      </c>
      <c r="B294" s="51" t="s">
        <v>1449</v>
      </c>
      <c r="C294" s="51" t="s">
        <v>212</v>
      </c>
      <c r="D294" s="54" t="s">
        <v>7</v>
      </c>
    </row>
    <row r="295" spans="1:4" x14ac:dyDescent="0.25">
      <c r="A295" s="53" t="s">
        <v>1450</v>
      </c>
      <c r="B295" s="51" t="s">
        <v>1451</v>
      </c>
      <c r="C295" s="51" t="s">
        <v>212</v>
      </c>
      <c r="D295" s="54" t="s">
        <v>26</v>
      </c>
    </row>
    <row r="296" spans="1:4" x14ac:dyDescent="0.25">
      <c r="A296" s="53" t="s">
        <v>1452</v>
      </c>
      <c r="B296" s="51" t="s">
        <v>1453</v>
      </c>
      <c r="C296" s="51" t="s">
        <v>10</v>
      </c>
      <c r="D296" s="54" t="s">
        <v>31</v>
      </c>
    </row>
    <row r="297" spans="1:4" x14ac:dyDescent="0.25">
      <c r="A297" s="53" t="s">
        <v>1454</v>
      </c>
      <c r="B297" s="51" t="s">
        <v>1455</v>
      </c>
      <c r="C297" s="51" t="s">
        <v>10</v>
      </c>
      <c r="D297" s="54" t="s">
        <v>31</v>
      </c>
    </row>
    <row r="298" spans="1:4" x14ac:dyDescent="0.25">
      <c r="A298" s="53" t="s">
        <v>1456</v>
      </c>
      <c r="B298" s="51" t="s">
        <v>1457</v>
      </c>
      <c r="C298" s="51" t="s">
        <v>14</v>
      </c>
      <c r="D298" s="54" t="s">
        <v>7</v>
      </c>
    </row>
    <row r="299" spans="1:4" x14ac:dyDescent="0.25">
      <c r="A299" s="53" t="s">
        <v>1458</v>
      </c>
      <c r="B299" s="51" t="s">
        <v>1459</v>
      </c>
      <c r="C299" s="51" t="s">
        <v>65</v>
      </c>
      <c r="D299" s="54" t="s">
        <v>11</v>
      </c>
    </row>
    <row r="300" spans="1:4" x14ac:dyDescent="0.25">
      <c r="A300" s="53" t="s">
        <v>1460</v>
      </c>
      <c r="B300" s="51" t="s">
        <v>1461</v>
      </c>
      <c r="C300" s="51" t="s">
        <v>14</v>
      </c>
      <c r="D300" s="54" t="s">
        <v>11</v>
      </c>
    </row>
    <row r="301" spans="1:4" x14ac:dyDescent="0.25">
      <c r="A301" s="53" t="s">
        <v>1462</v>
      </c>
      <c r="B301" s="51" t="s">
        <v>1463</v>
      </c>
      <c r="C301" s="51" t="s">
        <v>156</v>
      </c>
      <c r="D301" s="54" t="s">
        <v>74</v>
      </c>
    </row>
    <row r="302" spans="1:4" x14ac:dyDescent="0.25">
      <c r="A302" s="53" t="s">
        <v>1464</v>
      </c>
      <c r="B302" s="51" t="s">
        <v>1465</v>
      </c>
      <c r="C302" s="51" t="s">
        <v>10</v>
      </c>
      <c r="D302" s="54" t="s">
        <v>31</v>
      </c>
    </row>
    <row r="303" spans="1:4" x14ac:dyDescent="0.25">
      <c r="A303" s="53" t="s">
        <v>1466</v>
      </c>
      <c r="B303" s="51" t="s">
        <v>1467</v>
      </c>
      <c r="C303" s="51" t="s">
        <v>36</v>
      </c>
      <c r="D303" s="54" t="s">
        <v>11</v>
      </c>
    </row>
    <row r="304" spans="1:4" x14ac:dyDescent="0.25">
      <c r="A304" s="53" t="s">
        <v>1468</v>
      </c>
      <c r="B304" s="51" t="s">
        <v>1469</v>
      </c>
      <c r="C304" s="51" t="s">
        <v>65</v>
      </c>
      <c r="D304" s="54" t="s">
        <v>591</v>
      </c>
    </row>
    <row r="305" spans="1:6" x14ac:dyDescent="0.25">
      <c r="A305" s="53" t="s">
        <v>1477</v>
      </c>
      <c r="B305" s="51" t="s">
        <v>1478</v>
      </c>
      <c r="C305" s="51" t="s">
        <v>10</v>
      </c>
      <c r="D305" s="54" t="s">
        <v>232</v>
      </c>
    </row>
    <row r="306" spans="1:6" x14ac:dyDescent="0.25">
      <c r="A306" s="53" t="s">
        <v>1483</v>
      </c>
      <c r="B306" s="51" t="s">
        <v>1484</v>
      </c>
      <c r="C306" s="51" t="s">
        <v>10</v>
      </c>
      <c r="D306" s="54" t="s">
        <v>31</v>
      </c>
    </row>
    <row r="307" spans="1:6" x14ac:dyDescent="0.25">
      <c r="A307" s="53" t="s">
        <v>1485</v>
      </c>
      <c r="B307" s="51" t="s">
        <v>1486</v>
      </c>
      <c r="C307" s="51" t="s">
        <v>112</v>
      </c>
      <c r="D307" s="54" t="s">
        <v>232</v>
      </c>
    </row>
    <row r="308" spans="1:6" x14ac:dyDescent="0.25">
      <c r="A308" s="53" t="s">
        <v>1487</v>
      </c>
      <c r="B308" s="51" t="s">
        <v>1488</v>
      </c>
      <c r="C308" s="51" t="s">
        <v>10</v>
      </c>
      <c r="D308" s="54" t="s">
        <v>31</v>
      </c>
    </row>
    <row r="309" spans="1:6" x14ac:dyDescent="0.25">
      <c r="A309" s="65" t="s">
        <v>1489</v>
      </c>
      <c r="B309" s="51" t="s">
        <v>1490</v>
      </c>
      <c r="C309" s="51" t="s">
        <v>10</v>
      </c>
      <c r="D309" s="54" t="s">
        <v>31</v>
      </c>
      <c r="F309" s="64"/>
    </row>
    <row r="310" spans="1:6" x14ac:dyDescent="0.25">
      <c r="A310" s="53" t="s">
        <v>1505</v>
      </c>
      <c r="B310" s="51" t="s">
        <v>1506</v>
      </c>
      <c r="C310" s="51" t="s">
        <v>10</v>
      </c>
      <c r="D310" s="54" t="s">
        <v>31</v>
      </c>
    </row>
    <row r="311" spans="1:6" x14ac:dyDescent="0.25">
      <c r="A311" s="53" t="s">
        <v>1507</v>
      </c>
      <c r="B311" s="51" t="s">
        <v>1508</v>
      </c>
      <c r="C311" s="51" t="s">
        <v>332</v>
      </c>
      <c r="D311" s="54" t="s">
        <v>11</v>
      </c>
    </row>
    <row r="312" spans="1:6" x14ac:dyDescent="0.25">
      <c r="A312" s="53" t="s">
        <v>596</v>
      </c>
      <c r="B312" s="51" t="s">
        <v>597</v>
      </c>
      <c r="C312" s="51" t="s">
        <v>17</v>
      </c>
      <c r="D312" s="54" t="s">
        <v>40</v>
      </c>
    </row>
    <row r="313" spans="1:6" x14ac:dyDescent="0.25">
      <c r="A313" s="53" t="s">
        <v>1491</v>
      </c>
      <c r="B313" s="51" t="s">
        <v>1492</v>
      </c>
      <c r="C313" s="51" t="s">
        <v>1493</v>
      </c>
      <c r="D313" s="54" t="s">
        <v>1494</v>
      </c>
    </row>
  </sheetData>
  <phoneticPr fontId="16" type="noConversion"/>
  <conditionalFormatting sqref="A1:C309">
    <cfRule type="expression" dxfId="7" priority="1">
      <formula>$A1&lt;&gt;""</formula>
    </cfRule>
  </conditionalFormatting>
  <conditionalFormatting sqref="A310:C1048576">
    <cfRule type="expression" dxfId="6" priority="2">
      <formula>$A310&lt;&gt;""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8FC4-8E94-4182-A9D2-F18D62A2A35D}">
  <dimension ref="A1:V123"/>
  <sheetViews>
    <sheetView tabSelected="1" zoomScaleNormal="100" workbookViewId="0">
      <pane xSplit="2" ySplit="1" topLeftCell="C97" activePane="bottomRight" state="frozen"/>
      <selection pane="topRight" activeCell="C2" sqref="C2:C31"/>
      <selection pane="bottomLeft" activeCell="C2" sqref="C2:C31"/>
      <selection pane="bottomRight" activeCell="F109" sqref="F109"/>
    </sheetView>
  </sheetViews>
  <sheetFormatPr defaultColWidth="15.7109375" defaultRowHeight="15.75" x14ac:dyDescent="0.25"/>
  <cols>
    <col min="1" max="1" width="11" style="39" bestFit="1" customWidth="1"/>
    <col min="2" max="2" width="20" style="39" bestFit="1" customWidth="1"/>
    <col min="3" max="3" width="20.42578125" style="39" bestFit="1" customWidth="1"/>
    <col min="4" max="4" width="16.5703125" style="39" bestFit="1" customWidth="1"/>
    <col min="5" max="5" width="13.7109375" style="39" bestFit="1" customWidth="1"/>
    <col min="6" max="6" width="33.28515625" style="39" bestFit="1" customWidth="1"/>
    <col min="7" max="7" width="33.28515625" style="39" customWidth="1"/>
    <col min="8" max="8" width="25.7109375" style="39" bestFit="1" customWidth="1"/>
    <col min="9" max="9" width="28.5703125" style="39" bestFit="1" customWidth="1"/>
    <col min="10" max="10" width="22.85546875" style="39" bestFit="1" customWidth="1"/>
    <col min="11" max="11" width="21.140625" style="39" bestFit="1" customWidth="1"/>
    <col min="12" max="12" width="21.7109375" style="39" bestFit="1" customWidth="1"/>
    <col min="13" max="13" width="48" style="39" customWidth="1"/>
    <col min="14" max="14" width="15" style="39" bestFit="1" customWidth="1"/>
    <col min="15" max="15" width="9.42578125" style="39" bestFit="1" customWidth="1"/>
    <col min="16" max="16" width="8.85546875" style="39" bestFit="1" customWidth="1"/>
    <col min="17" max="17" width="9.5703125" style="39" bestFit="1" customWidth="1"/>
    <col min="18" max="18" width="9.85546875" style="39" bestFit="1" customWidth="1"/>
    <col min="19" max="19" width="22.140625" style="39" customWidth="1"/>
    <col min="20" max="20" width="36.42578125" style="39" bestFit="1" customWidth="1"/>
    <col min="21" max="21" width="26.28515625" style="39" customWidth="1"/>
    <col min="22" max="22" width="15.7109375" style="39"/>
    <col min="23" max="23" width="33.28515625" style="39" customWidth="1"/>
    <col min="24" max="16384" width="15.7109375" style="39"/>
  </cols>
  <sheetData>
    <row r="1" spans="1:21" x14ac:dyDescent="0.25">
      <c r="A1" s="70" t="s">
        <v>640</v>
      </c>
      <c r="B1" s="70" t="s">
        <v>641</v>
      </c>
      <c r="C1" s="70" t="s">
        <v>642</v>
      </c>
      <c r="D1" s="70" t="s">
        <v>643</v>
      </c>
      <c r="E1" s="70" t="s">
        <v>644</v>
      </c>
      <c r="F1" s="70" t="s">
        <v>645</v>
      </c>
      <c r="G1" s="70" t="s">
        <v>646</v>
      </c>
      <c r="H1" s="70" t="s">
        <v>1510</v>
      </c>
      <c r="I1" s="70" t="s">
        <v>647</v>
      </c>
      <c r="J1" s="70" t="s">
        <v>648</v>
      </c>
      <c r="K1" s="70" t="s">
        <v>649</v>
      </c>
      <c r="L1" s="70" t="s">
        <v>650</v>
      </c>
      <c r="M1" s="70" t="s">
        <v>651</v>
      </c>
      <c r="N1" s="70" t="s">
        <v>652</v>
      </c>
      <c r="O1" s="70" t="s">
        <v>653</v>
      </c>
      <c r="P1" s="70" t="s">
        <v>654</v>
      </c>
      <c r="Q1" s="70" t="s">
        <v>655</v>
      </c>
      <c r="R1" s="70" t="s">
        <v>656</v>
      </c>
      <c r="S1" s="70" t="s">
        <v>657</v>
      </c>
      <c r="T1" s="71" t="s">
        <v>658</v>
      </c>
      <c r="U1" s="71" t="s">
        <v>1511</v>
      </c>
    </row>
    <row r="2" spans="1:21" x14ac:dyDescent="0.25">
      <c r="A2" s="38">
        <v>1</v>
      </c>
      <c r="B2" s="35" t="s">
        <v>659</v>
      </c>
      <c r="C2" s="36" t="s">
        <v>660</v>
      </c>
      <c r="D2" s="38" t="s">
        <v>661</v>
      </c>
      <c r="E2" s="38" t="s">
        <v>662</v>
      </c>
      <c r="F2" s="36" t="s">
        <v>663</v>
      </c>
      <c r="G2" s="36" t="str">
        <f>IFERROR(VLOOKUP(F2,EMP_Info[[Full name]:[Department]],2,FALSE),F2)</f>
        <v>Weighbridge Server PC</v>
      </c>
      <c r="H2" s="36" t="s">
        <v>664</v>
      </c>
      <c r="I2" s="36" t="s">
        <v>665</v>
      </c>
      <c r="J2" s="36" t="s">
        <v>664</v>
      </c>
      <c r="K2" s="37" t="s">
        <v>666</v>
      </c>
      <c r="L2" s="37" t="s">
        <v>666</v>
      </c>
      <c r="M2" s="36" t="s">
        <v>667</v>
      </c>
      <c r="N2" s="36" t="s">
        <v>668</v>
      </c>
      <c r="O2" s="36" t="s">
        <v>669</v>
      </c>
      <c r="P2" s="36" t="s">
        <v>670</v>
      </c>
      <c r="Q2" s="38" t="s">
        <v>671</v>
      </c>
      <c r="R2" s="36" t="s">
        <v>672</v>
      </c>
      <c r="S2" s="36" t="s">
        <v>673</v>
      </c>
      <c r="T2" s="36" t="s">
        <v>674</v>
      </c>
      <c r="U2" s="38"/>
    </row>
    <row r="3" spans="1:21" x14ac:dyDescent="0.25">
      <c r="A3" s="38">
        <v>2</v>
      </c>
      <c r="B3" s="38" t="s">
        <v>17</v>
      </c>
      <c r="C3" s="38" t="s">
        <v>675</v>
      </c>
      <c r="D3" s="38" t="s">
        <v>661</v>
      </c>
      <c r="E3" s="38" t="s">
        <v>662</v>
      </c>
      <c r="F3" s="36" t="s">
        <v>676</v>
      </c>
      <c r="G3" s="36" t="str">
        <f>IFERROR(VLOOKUP(F3,EMP_Info[[Full name]:[Department]],2,FALSE),F3)</f>
        <v>Packing Area</v>
      </c>
      <c r="H3" s="38" t="s">
        <v>445</v>
      </c>
      <c r="I3" s="38" t="s">
        <v>677</v>
      </c>
      <c r="J3" s="38" t="s">
        <v>445</v>
      </c>
      <c r="K3" s="38" t="s">
        <v>678</v>
      </c>
      <c r="L3" s="38" t="s">
        <v>678</v>
      </c>
      <c r="M3" s="38" t="s">
        <v>667</v>
      </c>
      <c r="N3" s="38" t="s">
        <v>679</v>
      </c>
      <c r="O3" s="38" t="s">
        <v>680</v>
      </c>
      <c r="P3" s="38" t="s">
        <v>665</v>
      </c>
      <c r="Q3" s="38" t="s">
        <v>671</v>
      </c>
      <c r="R3" s="36" t="s">
        <v>681</v>
      </c>
      <c r="S3" s="36" t="s">
        <v>673</v>
      </c>
      <c r="T3" s="38"/>
      <c r="U3" s="38"/>
    </row>
    <row r="4" spans="1:21" x14ac:dyDescent="0.25">
      <c r="A4" s="38">
        <v>3</v>
      </c>
      <c r="B4" s="35" t="s">
        <v>682</v>
      </c>
      <c r="C4" s="36" t="s">
        <v>683</v>
      </c>
      <c r="D4" s="38" t="s">
        <v>684</v>
      </c>
      <c r="E4" s="38" t="s">
        <v>685</v>
      </c>
      <c r="F4" s="36" t="s">
        <v>686</v>
      </c>
      <c r="G4" s="36" t="str">
        <f>IFERROR(VLOOKUP(F4,EMP_Info[[Full name]:[Department]],2,FALSE),F4)</f>
        <v>Spare (Damage)</v>
      </c>
      <c r="H4" s="36" t="s">
        <v>687</v>
      </c>
      <c r="I4" s="36" t="s">
        <v>688</v>
      </c>
      <c r="J4" s="36"/>
      <c r="K4" s="37" t="s">
        <v>665</v>
      </c>
      <c r="L4" s="36" t="s">
        <v>689</v>
      </c>
      <c r="M4" s="36" t="s">
        <v>690</v>
      </c>
      <c r="N4" s="36" t="s">
        <v>691</v>
      </c>
      <c r="O4" s="36" t="s">
        <v>692</v>
      </c>
      <c r="P4" s="36" t="s">
        <v>693</v>
      </c>
      <c r="Q4" s="38" t="s">
        <v>665</v>
      </c>
      <c r="R4" s="36" t="s">
        <v>681</v>
      </c>
      <c r="S4" s="36"/>
      <c r="T4" s="36" t="s">
        <v>694</v>
      </c>
      <c r="U4" s="38"/>
    </row>
    <row r="5" spans="1:21" x14ac:dyDescent="0.25">
      <c r="A5" s="38">
        <v>4</v>
      </c>
      <c r="B5" s="38" t="s">
        <v>695</v>
      </c>
      <c r="C5" s="38" t="s">
        <v>683</v>
      </c>
      <c r="D5" s="38" t="s">
        <v>684</v>
      </c>
      <c r="E5" s="38" t="s">
        <v>685</v>
      </c>
      <c r="F5" s="36" t="s">
        <v>696</v>
      </c>
      <c r="G5" s="36" t="str">
        <f>IFERROR(VLOOKUP(F5,EMP_Info[[Full name]:[Department]],2,FALSE),F5)</f>
        <v>Spare</v>
      </c>
      <c r="H5" s="38" t="s">
        <v>10</v>
      </c>
      <c r="I5" s="38" t="s">
        <v>697</v>
      </c>
      <c r="J5" s="38" t="s">
        <v>10</v>
      </c>
      <c r="K5" s="38" t="s">
        <v>698</v>
      </c>
      <c r="L5" s="38" t="s">
        <v>698</v>
      </c>
      <c r="M5" s="38" t="s">
        <v>667</v>
      </c>
      <c r="N5" s="38" t="s">
        <v>679</v>
      </c>
      <c r="O5" s="38" t="s">
        <v>699</v>
      </c>
      <c r="P5" s="38" t="s">
        <v>700</v>
      </c>
      <c r="Q5" s="38" t="s">
        <v>665</v>
      </c>
      <c r="R5" s="38" t="s">
        <v>701</v>
      </c>
      <c r="S5" s="38" t="s">
        <v>702</v>
      </c>
      <c r="T5" s="38" t="s">
        <v>703</v>
      </c>
      <c r="U5" s="38"/>
    </row>
    <row r="6" spans="1:21" x14ac:dyDescent="0.25">
      <c r="A6" s="38">
        <v>5</v>
      </c>
      <c r="B6" s="38" t="s">
        <v>704</v>
      </c>
      <c r="C6" s="38" t="s">
        <v>683</v>
      </c>
      <c r="D6" s="38" t="s">
        <v>684</v>
      </c>
      <c r="E6" s="38" t="s">
        <v>685</v>
      </c>
      <c r="F6" s="36" t="s">
        <v>639</v>
      </c>
      <c r="G6" s="36" t="str">
        <f>IFERROR(VLOOKUP(F6,EMP_Info[[Full name]:[Department]],2,FALSE),F6)</f>
        <v>Environment</v>
      </c>
      <c r="H6" s="38" t="s">
        <v>112</v>
      </c>
      <c r="I6" s="38" t="s">
        <v>230</v>
      </c>
      <c r="J6" s="38" t="s">
        <v>231</v>
      </c>
      <c r="K6" s="38" t="s">
        <v>705</v>
      </c>
      <c r="L6" s="38" t="s">
        <v>705</v>
      </c>
      <c r="M6" s="38" t="s">
        <v>667</v>
      </c>
      <c r="N6" s="38" t="s">
        <v>668</v>
      </c>
      <c r="O6" s="38" t="s">
        <v>706</v>
      </c>
      <c r="P6" s="38" t="s">
        <v>700</v>
      </c>
      <c r="Q6" s="38" t="s">
        <v>665</v>
      </c>
      <c r="R6" s="38" t="s">
        <v>701</v>
      </c>
      <c r="S6" s="38" t="s">
        <v>707</v>
      </c>
      <c r="T6" s="38" t="s">
        <v>708</v>
      </c>
      <c r="U6" s="38"/>
    </row>
    <row r="7" spans="1:21" x14ac:dyDescent="0.25">
      <c r="A7" s="38">
        <v>6</v>
      </c>
      <c r="B7" s="38" t="s">
        <v>709</v>
      </c>
      <c r="C7" s="38" t="s">
        <v>683</v>
      </c>
      <c r="D7" s="38" t="s">
        <v>684</v>
      </c>
      <c r="E7" s="38" t="s">
        <v>685</v>
      </c>
      <c r="F7" s="36" t="s">
        <v>710</v>
      </c>
      <c r="G7" s="36" t="str">
        <f>IFERROR(VLOOKUP(F7,EMP_Info[[Full name]:[Department]],2,FALSE),F7)</f>
        <v>Training Laptop</v>
      </c>
      <c r="H7" s="38" t="s">
        <v>696</v>
      </c>
      <c r="I7" s="38" t="s">
        <v>665</v>
      </c>
      <c r="J7" s="38" t="s">
        <v>665</v>
      </c>
      <c r="K7" s="38" t="s">
        <v>711</v>
      </c>
      <c r="L7" s="38" t="s">
        <v>711</v>
      </c>
      <c r="M7" s="38" t="s">
        <v>712</v>
      </c>
      <c r="N7" s="38" t="s">
        <v>713</v>
      </c>
      <c r="O7" s="38" t="s">
        <v>699</v>
      </c>
      <c r="P7" s="38" t="s">
        <v>714</v>
      </c>
      <c r="Q7" s="38" t="s">
        <v>665</v>
      </c>
      <c r="R7" s="38" t="s">
        <v>672</v>
      </c>
      <c r="S7" s="38" t="s">
        <v>702</v>
      </c>
      <c r="T7" s="38" t="s">
        <v>715</v>
      </c>
      <c r="U7" s="38"/>
    </row>
    <row r="8" spans="1:21" x14ac:dyDescent="0.25">
      <c r="A8" s="38">
        <v>7</v>
      </c>
      <c r="B8" s="38" t="s">
        <v>716</v>
      </c>
      <c r="C8" s="38" t="s">
        <v>683</v>
      </c>
      <c r="D8" s="38" t="s">
        <v>684</v>
      </c>
      <c r="E8" s="38" t="s">
        <v>685</v>
      </c>
      <c r="F8" s="36" t="s">
        <v>155</v>
      </c>
      <c r="G8" s="36" t="str">
        <f>IFERROR(VLOOKUP(F8,EMP_Info[[Full name]:[Department]],2,FALSE),F8)</f>
        <v>Technical Services</v>
      </c>
      <c r="H8" s="38" t="s">
        <v>156</v>
      </c>
      <c r="I8" s="38" t="s">
        <v>717</v>
      </c>
      <c r="J8" s="38" t="s">
        <v>156</v>
      </c>
      <c r="K8" s="38" t="s">
        <v>718</v>
      </c>
      <c r="L8" s="38" t="s">
        <v>718</v>
      </c>
      <c r="M8" s="38" t="s">
        <v>712</v>
      </c>
      <c r="N8" s="38" t="s">
        <v>713</v>
      </c>
      <c r="O8" s="38" t="s">
        <v>699</v>
      </c>
      <c r="P8" s="38" t="s">
        <v>719</v>
      </c>
      <c r="Q8" s="38" t="s">
        <v>665</v>
      </c>
      <c r="R8" s="38" t="s">
        <v>720</v>
      </c>
      <c r="S8" s="38" t="s">
        <v>702</v>
      </c>
      <c r="T8" s="38" t="s">
        <v>721</v>
      </c>
      <c r="U8" s="38"/>
    </row>
    <row r="9" spans="1:21" x14ac:dyDescent="0.25">
      <c r="A9" s="38">
        <v>8</v>
      </c>
      <c r="B9" s="38" t="s">
        <v>722</v>
      </c>
      <c r="C9" s="38" t="s">
        <v>683</v>
      </c>
      <c r="D9" s="38" t="s">
        <v>684</v>
      </c>
      <c r="E9" s="38" t="s">
        <v>662</v>
      </c>
      <c r="F9" s="36" t="s">
        <v>406</v>
      </c>
      <c r="G9" s="36" t="str">
        <f>IFERROR(VLOOKUP(F9,EMP_Info[[Full name]:[Department]],2,FALSE),F9)</f>
        <v>IT</v>
      </c>
      <c r="H9" s="38" t="s">
        <v>407</v>
      </c>
      <c r="I9" s="38" t="s">
        <v>723</v>
      </c>
      <c r="J9" s="38" t="s">
        <v>156</v>
      </c>
      <c r="K9" s="38" t="s">
        <v>724</v>
      </c>
      <c r="L9" s="38" t="s">
        <v>724</v>
      </c>
      <c r="M9" s="38" t="s">
        <v>667</v>
      </c>
      <c r="N9" s="38" t="s">
        <v>713</v>
      </c>
      <c r="O9" s="38" t="s">
        <v>699</v>
      </c>
      <c r="P9" s="38" t="s">
        <v>725</v>
      </c>
      <c r="Q9" s="38" t="s">
        <v>665</v>
      </c>
      <c r="R9" s="38" t="s">
        <v>726</v>
      </c>
      <c r="S9" s="38" t="s">
        <v>673</v>
      </c>
      <c r="T9" s="38" t="s">
        <v>727</v>
      </c>
      <c r="U9" s="38" t="s">
        <v>728</v>
      </c>
    </row>
    <row r="10" spans="1:21" x14ac:dyDescent="0.25">
      <c r="A10" s="38">
        <v>9</v>
      </c>
      <c r="B10" s="38" t="s">
        <v>729</v>
      </c>
      <c r="C10" s="38" t="s">
        <v>683</v>
      </c>
      <c r="D10" s="38" t="s">
        <v>684</v>
      </c>
      <c r="E10" s="38" t="s">
        <v>685</v>
      </c>
      <c r="F10" s="36" t="s">
        <v>397</v>
      </c>
      <c r="G10" s="36" t="str">
        <f>IFERROR(VLOOKUP(F10,EMP_Info[[Full name]:[Department]],2,FALSE),F10)</f>
        <v>Utility</v>
      </c>
      <c r="H10" s="38" t="s">
        <v>125</v>
      </c>
      <c r="I10" s="38" t="s">
        <v>730</v>
      </c>
      <c r="J10" s="38" t="s">
        <v>407</v>
      </c>
      <c r="K10" s="38" t="s">
        <v>731</v>
      </c>
      <c r="L10" s="38" t="s">
        <v>731</v>
      </c>
      <c r="M10" s="38" t="s">
        <v>667</v>
      </c>
      <c r="N10" s="38" t="s">
        <v>668</v>
      </c>
      <c r="O10" s="38" t="s">
        <v>732</v>
      </c>
      <c r="P10" s="38" t="s">
        <v>671</v>
      </c>
      <c r="Q10" s="38" t="s">
        <v>665</v>
      </c>
      <c r="R10" s="38" t="s">
        <v>672</v>
      </c>
      <c r="S10" s="38" t="s">
        <v>702</v>
      </c>
      <c r="T10" s="38" t="s">
        <v>733</v>
      </c>
      <c r="U10" s="38"/>
    </row>
    <row r="11" spans="1:21" x14ac:dyDescent="0.25">
      <c r="A11" s="38">
        <v>10</v>
      </c>
      <c r="B11" s="38" t="s">
        <v>734</v>
      </c>
      <c r="C11" s="38" t="s">
        <v>683</v>
      </c>
      <c r="D11" s="38" t="s">
        <v>684</v>
      </c>
      <c r="E11" s="38" t="s">
        <v>685</v>
      </c>
      <c r="F11" s="36" t="s">
        <v>64</v>
      </c>
      <c r="G11" s="36" t="str">
        <f>IFERROR(VLOOKUP(F11,EMP_Info[[Full name]:[Department]],2,FALSE),F11)</f>
        <v>Quality Control</v>
      </c>
      <c r="H11" s="38" t="s">
        <v>735</v>
      </c>
      <c r="I11" s="38" t="s">
        <v>736</v>
      </c>
      <c r="J11" s="38" t="s">
        <v>735</v>
      </c>
      <c r="K11" s="38" t="s">
        <v>737</v>
      </c>
      <c r="L11" s="38" t="s">
        <v>737</v>
      </c>
      <c r="M11" s="38" t="s">
        <v>667</v>
      </c>
      <c r="N11" s="38" t="s">
        <v>668</v>
      </c>
      <c r="O11" s="38" t="s">
        <v>738</v>
      </c>
      <c r="P11" s="38" t="s">
        <v>719</v>
      </c>
      <c r="Q11" s="38" t="s">
        <v>665</v>
      </c>
      <c r="R11" s="38" t="s">
        <v>720</v>
      </c>
      <c r="S11" s="38" t="s">
        <v>702</v>
      </c>
      <c r="T11" s="38" t="s">
        <v>739</v>
      </c>
      <c r="U11" s="38"/>
    </row>
    <row r="12" spans="1:21" x14ac:dyDescent="0.25">
      <c r="A12" s="38">
        <v>11</v>
      </c>
      <c r="B12" s="38" t="s">
        <v>740</v>
      </c>
      <c r="C12" s="38" t="s">
        <v>683</v>
      </c>
      <c r="D12" s="38" t="s">
        <v>684</v>
      </c>
      <c r="E12" s="38" t="s">
        <v>685</v>
      </c>
      <c r="F12" s="36" t="s">
        <v>216</v>
      </c>
      <c r="G12" s="36" t="str">
        <f>IFERROR(VLOOKUP(F12,EMP_Info[[Full name]:[Department]],2,FALSE),F12)</f>
        <v>Project</v>
      </c>
      <c r="H12" s="38" t="s">
        <v>217</v>
      </c>
      <c r="I12" s="38" t="s">
        <v>741</v>
      </c>
      <c r="J12" s="38" t="s">
        <v>217</v>
      </c>
      <c r="K12" s="38" t="s">
        <v>742</v>
      </c>
      <c r="L12" s="38" t="s">
        <v>742</v>
      </c>
      <c r="M12" s="38" t="s">
        <v>667</v>
      </c>
      <c r="N12" s="38" t="s">
        <v>668</v>
      </c>
      <c r="O12" s="38" t="s">
        <v>738</v>
      </c>
      <c r="P12" s="38" t="s">
        <v>719</v>
      </c>
      <c r="Q12" s="38" t="s">
        <v>665</v>
      </c>
      <c r="R12" s="38" t="s">
        <v>672</v>
      </c>
      <c r="S12" s="38" t="s">
        <v>702</v>
      </c>
      <c r="T12" s="38" t="s">
        <v>743</v>
      </c>
      <c r="U12" s="38"/>
    </row>
    <row r="13" spans="1:21" x14ac:dyDescent="0.25">
      <c r="A13" s="38">
        <v>12</v>
      </c>
      <c r="B13" s="38" t="s">
        <v>744</v>
      </c>
      <c r="C13" s="38" t="s">
        <v>683</v>
      </c>
      <c r="D13" s="38" t="s">
        <v>684</v>
      </c>
      <c r="E13" s="38" t="s">
        <v>685</v>
      </c>
      <c r="F13" s="36" t="s">
        <v>484</v>
      </c>
      <c r="G13" s="36" t="str">
        <f>IFERROR(VLOOKUP(F13,EMP_Info[[Full name]:[Department]],2,FALSE),F13)</f>
        <v>Production</v>
      </c>
      <c r="H13" s="38" t="s">
        <v>745</v>
      </c>
      <c r="I13" s="38" t="s">
        <v>746</v>
      </c>
      <c r="J13" s="38" t="s">
        <v>156</v>
      </c>
      <c r="K13" s="38" t="s">
        <v>747</v>
      </c>
      <c r="L13" s="38" t="s">
        <v>747</v>
      </c>
      <c r="M13" s="38" t="s">
        <v>748</v>
      </c>
      <c r="N13" s="38" t="s">
        <v>749</v>
      </c>
      <c r="O13" s="38" t="s">
        <v>738</v>
      </c>
      <c r="P13" s="38" t="s">
        <v>750</v>
      </c>
      <c r="Q13" s="38" t="s">
        <v>665</v>
      </c>
      <c r="R13" s="38" t="s">
        <v>720</v>
      </c>
      <c r="S13" s="38" t="s">
        <v>673</v>
      </c>
      <c r="T13" s="38" t="s">
        <v>751</v>
      </c>
      <c r="U13" s="38"/>
    </row>
    <row r="14" spans="1:21" x14ac:dyDescent="0.25">
      <c r="A14" s="38">
        <v>13</v>
      </c>
      <c r="B14" s="38" t="s">
        <v>752</v>
      </c>
      <c r="C14" s="38" t="s">
        <v>683</v>
      </c>
      <c r="D14" s="38" t="s">
        <v>684</v>
      </c>
      <c r="E14" s="38" t="s">
        <v>685</v>
      </c>
      <c r="F14" s="36" t="s">
        <v>221</v>
      </c>
      <c r="G14" s="36" t="str">
        <f>IFERROR(VLOOKUP(F14,EMP_Info[[Full name]:[Department]],2,FALSE),F14)</f>
        <v>QC &amp; QA</v>
      </c>
      <c r="H14" s="38" t="s">
        <v>753</v>
      </c>
      <c r="I14" s="38" t="s">
        <v>754</v>
      </c>
      <c r="J14" s="38" t="s">
        <v>753</v>
      </c>
      <c r="K14" s="38" t="s">
        <v>755</v>
      </c>
      <c r="L14" s="38" t="s">
        <v>755</v>
      </c>
      <c r="M14" s="38" t="s">
        <v>667</v>
      </c>
      <c r="N14" s="38" t="s">
        <v>668</v>
      </c>
      <c r="O14" s="38" t="s">
        <v>738</v>
      </c>
      <c r="P14" s="38" t="s">
        <v>756</v>
      </c>
      <c r="Q14" s="38" t="s">
        <v>665</v>
      </c>
      <c r="R14" s="38" t="s">
        <v>720</v>
      </c>
      <c r="S14" s="38" t="s">
        <v>702</v>
      </c>
      <c r="T14" s="38" t="s">
        <v>757</v>
      </c>
      <c r="U14" s="38"/>
    </row>
    <row r="15" spans="1:21" x14ac:dyDescent="0.25">
      <c r="A15" s="38">
        <v>14</v>
      </c>
      <c r="B15" s="38" t="s">
        <v>758</v>
      </c>
      <c r="C15" s="38" t="s">
        <v>683</v>
      </c>
      <c r="D15" s="38" t="s">
        <v>684</v>
      </c>
      <c r="E15" s="38" t="s">
        <v>662</v>
      </c>
      <c r="F15" s="36" t="s">
        <v>556</v>
      </c>
      <c r="G15" s="36" t="str">
        <f>IFERROR(VLOOKUP(F15,EMP_Info[[Full name]:[Department]],2,FALSE),F15)</f>
        <v>IT</v>
      </c>
      <c r="H15" s="38" t="s">
        <v>745</v>
      </c>
      <c r="I15" s="38" t="s">
        <v>759</v>
      </c>
      <c r="J15" s="38" t="s">
        <v>745</v>
      </c>
      <c r="K15" s="38" t="s">
        <v>760</v>
      </c>
      <c r="L15" s="38" t="s">
        <v>760</v>
      </c>
      <c r="M15" s="38" t="s">
        <v>667</v>
      </c>
      <c r="N15" s="38" t="s">
        <v>668</v>
      </c>
      <c r="O15" s="38" t="s">
        <v>738</v>
      </c>
      <c r="P15" s="38" t="s">
        <v>756</v>
      </c>
      <c r="Q15" s="38" t="s">
        <v>665</v>
      </c>
      <c r="R15" s="38" t="s">
        <v>720</v>
      </c>
      <c r="S15" s="38" t="s">
        <v>702</v>
      </c>
      <c r="T15" s="38" t="s">
        <v>761</v>
      </c>
      <c r="U15" s="38"/>
    </row>
    <row r="16" spans="1:21" x14ac:dyDescent="0.25">
      <c r="A16" s="38">
        <v>15</v>
      </c>
      <c r="B16" s="38" t="s">
        <v>762</v>
      </c>
      <c r="C16" s="38" t="s">
        <v>683</v>
      </c>
      <c r="D16" s="38" t="s">
        <v>684</v>
      </c>
      <c r="E16" s="38" t="s">
        <v>685</v>
      </c>
      <c r="F16" s="36" t="s">
        <v>1444</v>
      </c>
      <c r="G16" s="36" t="str">
        <f>IFERROR(VLOOKUP(F16,EMP_Info[[Full name]:[Department]],2,FALSE),F16)</f>
        <v>Project</v>
      </c>
      <c r="H16" s="38" t="s">
        <v>112</v>
      </c>
      <c r="I16" s="38" t="s">
        <v>763</v>
      </c>
      <c r="J16" s="38" t="s">
        <v>112</v>
      </c>
      <c r="K16" s="38" t="s">
        <v>764</v>
      </c>
      <c r="L16" s="38" t="s">
        <v>764</v>
      </c>
      <c r="M16" s="38" t="s">
        <v>667</v>
      </c>
      <c r="N16" s="38" t="s">
        <v>668</v>
      </c>
      <c r="O16" s="38" t="s">
        <v>738</v>
      </c>
      <c r="P16" s="38" t="s">
        <v>756</v>
      </c>
      <c r="Q16" s="38" t="s">
        <v>665</v>
      </c>
      <c r="R16" s="38" t="s">
        <v>720</v>
      </c>
      <c r="S16" s="38" t="s">
        <v>702</v>
      </c>
      <c r="T16" s="38" t="s">
        <v>765</v>
      </c>
      <c r="U16" s="38"/>
    </row>
    <row r="17" spans="1:21" x14ac:dyDescent="0.25">
      <c r="A17" s="38">
        <v>16</v>
      </c>
      <c r="B17" s="38" t="s">
        <v>766</v>
      </c>
      <c r="C17" s="38" t="s">
        <v>683</v>
      </c>
      <c r="D17" s="38" t="s">
        <v>684</v>
      </c>
      <c r="E17" s="38" t="s">
        <v>685</v>
      </c>
      <c r="F17" s="36" t="s">
        <v>517</v>
      </c>
      <c r="G17" s="36" t="str">
        <f>IFERROR(VLOOKUP(F17,EMP_Info[[Full name]:[Department]],2,FALSE),F17)</f>
        <v>Operation</v>
      </c>
      <c r="H17" s="38" t="s">
        <v>17</v>
      </c>
      <c r="I17" s="38" t="s">
        <v>767</v>
      </c>
      <c r="J17" s="38" t="s">
        <v>17</v>
      </c>
      <c r="K17" s="38" t="s">
        <v>768</v>
      </c>
      <c r="L17" s="38" t="s">
        <v>768</v>
      </c>
      <c r="M17" s="38" t="s">
        <v>667</v>
      </c>
      <c r="N17" s="38" t="s">
        <v>668</v>
      </c>
      <c r="O17" s="38" t="s">
        <v>738</v>
      </c>
      <c r="P17" s="38" t="s">
        <v>756</v>
      </c>
      <c r="Q17" s="38" t="s">
        <v>665</v>
      </c>
      <c r="R17" s="38" t="s">
        <v>720</v>
      </c>
      <c r="S17" s="38" t="s">
        <v>702</v>
      </c>
      <c r="T17" s="38" t="s">
        <v>769</v>
      </c>
      <c r="U17" s="38"/>
    </row>
    <row r="18" spans="1:21" x14ac:dyDescent="0.25">
      <c r="A18" s="38">
        <v>17</v>
      </c>
      <c r="B18" s="38" t="s">
        <v>770</v>
      </c>
      <c r="C18" s="38" t="s">
        <v>683</v>
      </c>
      <c r="D18" s="38" t="s">
        <v>684</v>
      </c>
      <c r="E18" s="38" t="s">
        <v>685</v>
      </c>
      <c r="F18" s="36" t="s">
        <v>214</v>
      </c>
      <c r="G18" s="36" t="str">
        <f>IFERROR(VLOOKUP(F18,EMP_Info[[Full name]:[Department]],2,FALSE),F18)</f>
        <v>Technical Services</v>
      </c>
      <c r="H18" s="38" t="s">
        <v>156</v>
      </c>
      <c r="I18" s="38" t="s">
        <v>771</v>
      </c>
      <c r="J18" s="38" t="s">
        <v>17</v>
      </c>
      <c r="K18" s="38" t="s">
        <v>772</v>
      </c>
      <c r="L18" s="38" t="s">
        <v>772</v>
      </c>
      <c r="M18" s="38" t="s">
        <v>667</v>
      </c>
      <c r="N18" s="38" t="s">
        <v>668</v>
      </c>
      <c r="O18" s="38" t="s">
        <v>738</v>
      </c>
      <c r="P18" s="38" t="s">
        <v>756</v>
      </c>
      <c r="Q18" s="38" t="s">
        <v>665</v>
      </c>
      <c r="R18" s="38" t="s">
        <v>720</v>
      </c>
      <c r="S18" s="38" t="s">
        <v>702</v>
      </c>
      <c r="T18" s="38" t="s">
        <v>773</v>
      </c>
      <c r="U18" s="38"/>
    </row>
    <row r="19" spans="1:21" x14ac:dyDescent="0.25">
      <c r="A19" s="38">
        <v>18</v>
      </c>
      <c r="B19" s="38" t="s">
        <v>774</v>
      </c>
      <c r="C19" s="38" t="s">
        <v>683</v>
      </c>
      <c r="D19" s="38" t="s">
        <v>684</v>
      </c>
      <c r="E19" s="38" t="s">
        <v>685</v>
      </c>
      <c r="F19" s="36" t="s">
        <v>165</v>
      </c>
      <c r="G19" s="36" t="str">
        <f>IFERROR(VLOOKUP(F19,EMP_Info[[Full name]:[Department]],2,FALSE),F19)</f>
        <v>Electrical</v>
      </c>
      <c r="H19" s="38" t="s">
        <v>612</v>
      </c>
      <c r="I19" s="38" t="s">
        <v>665</v>
      </c>
      <c r="J19" s="38" t="s">
        <v>665</v>
      </c>
      <c r="K19" s="38" t="s">
        <v>775</v>
      </c>
      <c r="L19" s="38" t="s">
        <v>775</v>
      </c>
      <c r="M19" s="38" t="s">
        <v>667</v>
      </c>
      <c r="N19" s="38" t="s">
        <v>679</v>
      </c>
      <c r="O19" s="38" t="s">
        <v>738</v>
      </c>
      <c r="P19" s="38" t="s">
        <v>776</v>
      </c>
      <c r="Q19" s="38" t="s">
        <v>665</v>
      </c>
      <c r="R19" s="38" t="s">
        <v>720</v>
      </c>
      <c r="S19" s="38" t="s">
        <v>777</v>
      </c>
      <c r="T19" s="38" t="s">
        <v>778</v>
      </c>
      <c r="U19" s="38"/>
    </row>
    <row r="20" spans="1:21" x14ac:dyDescent="0.25">
      <c r="A20" s="38">
        <v>19</v>
      </c>
      <c r="B20" s="38" t="s">
        <v>779</v>
      </c>
      <c r="C20" s="38" t="s">
        <v>683</v>
      </c>
      <c r="D20" s="38" t="s">
        <v>684</v>
      </c>
      <c r="E20" s="38" t="s">
        <v>662</v>
      </c>
      <c r="F20" s="36" t="s">
        <v>619</v>
      </c>
      <c r="G20" s="36" t="str">
        <f>IFERROR(VLOOKUP(F20,EMP_Info[[Full name]:[Department]],2,FALSE),F20)</f>
        <v>Instrument</v>
      </c>
      <c r="H20" s="38" t="s">
        <v>664</v>
      </c>
      <c r="I20" s="38" t="s">
        <v>780</v>
      </c>
      <c r="J20" s="38" t="s">
        <v>664</v>
      </c>
      <c r="K20" s="38" t="s">
        <v>781</v>
      </c>
      <c r="L20" s="38" t="s">
        <v>781</v>
      </c>
      <c r="M20" s="38" t="s">
        <v>667</v>
      </c>
      <c r="N20" s="38" t="s">
        <v>668</v>
      </c>
      <c r="O20" s="38" t="s">
        <v>738</v>
      </c>
      <c r="P20" s="38" t="s">
        <v>776</v>
      </c>
      <c r="Q20" s="38" t="s">
        <v>665</v>
      </c>
      <c r="R20" s="38" t="s">
        <v>720</v>
      </c>
      <c r="S20" s="38" t="s">
        <v>777</v>
      </c>
      <c r="T20" s="38" t="s">
        <v>782</v>
      </c>
      <c r="U20" s="38"/>
    </row>
    <row r="21" spans="1:21" x14ac:dyDescent="0.25">
      <c r="A21" s="38">
        <v>20</v>
      </c>
      <c r="B21" s="38" t="s">
        <v>783</v>
      </c>
      <c r="C21" s="38" t="s">
        <v>683</v>
      </c>
      <c r="D21" s="38" t="s">
        <v>684</v>
      </c>
      <c r="E21" s="38" t="s">
        <v>685</v>
      </c>
      <c r="F21" s="36" t="s">
        <v>224</v>
      </c>
      <c r="G21" s="36" t="str">
        <f>IFERROR(VLOOKUP(F21,EMP_Info[[Full name]:[Department]],2,FALSE),F21)</f>
        <v>Instrument</v>
      </c>
      <c r="H21" s="38" t="s">
        <v>664</v>
      </c>
      <c r="I21" s="38" t="s">
        <v>665</v>
      </c>
      <c r="J21" s="38" t="s">
        <v>665</v>
      </c>
      <c r="K21" s="38" t="s">
        <v>784</v>
      </c>
      <c r="L21" s="38" t="s">
        <v>784</v>
      </c>
      <c r="M21" s="38" t="s">
        <v>667</v>
      </c>
      <c r="N21" s="38" t="s">
        <v>668</v>
      </c>
      <c r="O21" s="38" t="s">
        <v>738</v>
      </c>
      <c r="P21" s="38" t="s">
        <v>776</v>
      </c>
      <c r="Q21" s="38" t="s">
        <v>665</v>
      </c>
      <c r="R21" s="38" t="s">
        <v>720</v>
      </c>
      <c r="S21" s="38" t="s">
        <v>777</v>
      </c>
      <c r="T21" s="38" t="s">
        <v>785</v>
      </c>
      <c r="U21" s="38"/>
    </row>
    <row r="22" spans="1:21" x14ac:dyDescent="0.25">
      <c r="A22" s="38">
        <v>21</v>
      </c>
      <c r="B22" s="38" t="s">
        <v>786</v>
      </c>
      <c r="C22" s="38" t="s">
        <v>683</v>
      </c>
      <c r="D22" s="38" t="s">
        <v>684</v>
      </c>
      <c r="E22" s="38" t="s">
        <v>685</v>
      </c>
      <c r="F22" s="36" t="s">
        <v>1463</v>
      </c>
      <c r="G22" s="36" t="str">
        <f>IFERROR(VLOOKUP(F22,EMP_Info[[Full name]:[Department]],2,FALSE),F22)</f>
        <v>Technical Services</v>
      </c>
      <c r="H22" s="38" t="s">
        <v>10</v>
      </c>
      <c r="I22" s="38" t="s">
        <v>122</v>
      </c>
      <c r="J22" s="38" t="s">
        <v>10</v>
      </c>
      <c r="K22" s="38" t="s">
        <v>787</v>
      </c>
      <c r="L22" s="38" t="s">
        <v>787</v>
      </c>
      <c r="M22" s="38" t="s">
        <v>788</v>
      </c>
      <c r="N22" s="38" t="s">
        <v>679</v>
      </c>
      <c r="O22" s="38" t="s">
        <v>738</v>
      </c>
      <c r="P22" s="38" t="s">
        <v>776</v>
      </c>
      <c r="Q22" s="38" t="s">
        <v>665</v>
      </c>
      <c r="R22" s="38" t="s">
        <v>720</v>
      </c>
      <c r="S22" s="38" t="s">
        <v>777</v>
      </c>
      <c r="T22" s="38" t="s">
        <v>789</v>
      </c>
      <c r="U22" s="38"/>
    </row>
    <row r="23" spans="1:21" x14ac:dyDescent="0.25">
      <c r="A23" s="38">
        <v>22</v>
      </c>
      <c r="B23" s="38" t="s">
        <v>790</v>
      </c>
      <c r="C23" s="38" t="s">
        <v>683</v>
      </c>
      <c r="D23" s="38" t="s">
        <v>684</v>
      </c>
      <c r="E23" s="38" t="s">
        <v>685</v>
      </c>
      <c r="F23" s="36" t="s">
        <v>158</v>
      </c>
      <c r="G23" s="36" t="str">
        <f>IFERROR(VLOOKUP(F23,EMP_Info[[Full name]:[Department]],2,FALSE),F23)</f>
        <v>SCM</v>
      </c>
      <c r="H23" s="38" t="s">
        <v>159</v>
      </c>
      <c r="I23" s="38" t="s">
        <v>665</v>
      </c>
      <c r="J23" s="38" t="s">
        <v>665</v>
      </c>
      <c r="K23" s="38" t="s">
        <v>791</v>
      </c>
      <c r="L23" s="38" t="s">
        <v>791</v>
      </c>
      <c r="M23" s="38" t="s">
        <v>788</v>
      </c>
      <c r="N23" s="38" t="s">
        <v>679</v>
      </c>
      <c r="O23" s="38" t="s">
        <v>738</v>
      </c>
      <c r="P23" s="38" t="s">
        <v>776</v>
      </c>
      <c r="Q23" s="38" t="s">
        <v>665</v>
      </c>
      <c r="R23" s="38" t="s">
        <v>720</v>
      </c>
      <c r="S23" s="38" t="s">
        <v>777</v>
      </c>
      <c r="T23" s="38" t="s">
        <v>792</v>
      </c>
      <c r="U23" s="38"/>
    </row>
    <row r="24" spans="1:21" x14ac:dyDescent="0.25">
      <c r="A24" s="38">
        <v>24</v>
      </c>
      <c r="B24" s="38" t="s">
        <v>793</v>
      </c>
      <c r="C24" s="38" t="s">
        <v>683</v>
      </c>
      <c r="D24" s="38" t="s">
        <v>684</v>
      </c>
      <c r="E24" s="38" t="s">
        <v>685</v>
      </c>
      <c r="F24" s="36" t="s">
        <v>496</v>
      </c>
      <c r="G24" s="36" t="str">
        <f>IFERROR(VLOOKUP(F24,EMP_Info[[Full name]:[Department]],2,FALSE),F24)</f>
        <v>IT</v>
      </c>
      <c r="H24" s="38" t="s">
        <v>696</v>
      </c>
      <c r="I24" s="38" t="s">
        <v>794</v>
      </c>
      <c r="J24" s="38" t="s">
        <v>36</v>
      </c>
      <c r="K24" s="38" t="s">
        <v>795</v>
      </c>
      <c r="L24" s="38" t="s">
        <v>795</v>
      </c>
      <c r="M24" s="38" t="s">
        <v>796</v>
      </c>
      <c r="N24" s="38" t="s">
        <v>679</v>
      </c>
      <c r="O24" s="38" t="s">
        <v>738</v>
      </c>
      <c r="P24" s="38" t="s">
        <v>776</v>
      </c>
      <c r="Q24" s="38" t="s">
        <v>665</v>
      </c>
      <c r="R24" s="38" t="s">
        <v>720</v>
      </c>
      <c r="S24" s="38" t="s">
        <v>777</v>
      </c>
      <c r="T24" s="38" t="s">
        <v>797</v>
      </c>
      <c r="U24" s="38"/>
    </row>
    <row r="25" spans="1:21" x14ac:dyDescent="0.25">
      <c r="A25" s="62">
        <v>25</v>
      </c>
      <c r="B25" s="62" t="s">
        <v>798</v>
      </c>
      <c r="C25" s="62" t="s">
        <v>683</v>
      </c>
      <c r="D25" s="62" t="s">
        <v>684</v>
      </c>
      <c r="E25" s="62" t="s">
        <v>685</v>
      </c>
      <c r="F25" s="63" t="s">
        <v>799</v>
      </c>
      <c r="G25" s="63" t="str">
        <f>IFERROR(VLOOKUP(F25,EMP_Info[[Full name]:[Department]],2,FALSE),F25)</f>
        <v>Send to HO</v>
      </c>
      <c r="H25" s="62" t="s">
        <v>17</v>
      </c>
      <c r="I25" s="62" t="s">
        <v>800</v>
      </c>
      <c r="J25" s="62" t="s">
        <v>17</v>
      </c>
      <c r="K25" s="62" t="s">
        <v>801</v>
      </c>
      <c r="L25" s="62" t="s">
        <v>801</v>
      </c>
      <c r="M25" s="62" t="s">
        <v>796</v>
      </c>
      <c r="N25" s="62" t="s">
        <v>679</v>
      </c>
      <c r="O25" s="62" t="s">
        <v>738</v>
      </c>
      <c r="P25" s="62" t="s">
        <v>776</v>
      </c>
      <c r="Q25" s="62" t="s">
        <v>665</v>
      </c>
      <c r="R25" s="62" t="s">
        <v>720</v>
      </c>
      <c r="S25" s="62" t="s">
        <v>777</v>
      </c>
      <c r="T25" s="62" t="s">
        <v>802</v>
      </c>
      <c r="U25" s="62"/>
    </row>
    <row r="26" spans="1:21" x14ac:dyDescent="0.25">
      <c r="A26" s="38">
        <v>26</v>
      </c>
      <c r="B26" s="38" t="s">
        <v>803</v>
      </c>
      <c r="C26" s="38" t="s">
        <v>683</v>
      </c>
      <c r="D26" s="38" t="s">
        <v>684</v>
      </c>
      <c r="E26" s="38" t="s">
        <v>685</v>
      </c>
      <c r="F26" s="36" t="s">
        <v>395</v>
      </c>
      <c r="G26" s="36" t="str">
        <f>IFERROR(VLOOKUP(F26,EMP_Info[[Full name]:[Department]],2,FALSE),F26)</f>
        <v>Maintenance</v>
      </c>
      <c r="H26" s="38" t="s">
        <v>804</v>
      </c>
      <c r="I26" s="38" t="s">
        <v>665</v>
      </c>
      <c r="J26" s="38" t="s">
        <v>665</v>
      </c>
      <c r="K26" s="38" t="s">
        <v>805</v>
      </c>
      <c r="L26" s="38" t="s">
        <v>805</v>
      </c>
      <c r="M26" s="38" t="s">
        <v>806</v>
      </c>
      <c r="N26" s="38" t="s">
        <v>679</v>
      </c>
      <c r="O26" s="38" t="s">
        <v>738</v>
      </c>
      <c r="P26" s="38" t="s">
        <v>776</v>
      </c>
      <c r="Q26" s="38" t="s">
        <v>665</v>
      </c>
      <c r="R26" s="38" t="s">
        <v>720</v>
      </c>
      <c r="S26" s="38" t="s">
        <v>777</v>
      </c>
      <c r="T26" s="38" t="s">
        <v>807</v>
      </c>
      <c r="U26" s="38"/>
    </row>
    <row r="27" spans="1:21" x14ac:dyDescent="0.25">
      <c r="A27" s="38">
        <v>27</v>
      </c>
      <c r="B27" s="38" t="s">
        <v>808</v>
      </c>
      <c r="C27" s="38" t="s">
        <v>683</v>
      </c>
      <c r="D27" s="38" t="s">
        <v>684</v>
      </c>
      <c r="E27" s="38" t="s">
        <v>685</v>
      </c>
      <c r="F27" s="36" t="s">
        <v>696</v>
      </c>
      <c r="G27" s="36" t="str">
        <f>IFERROR(VLOOKUP(F27,EMP_Info[[Full name]:[Department]],2,FALSE),F27)</f>
        <v>Spare</v>
      </c>
      <c r="H27" s="38" t="s">
        <v>10</v>
      </c>
      <c r="I27" s="38" t="s">
        <v>809</v>
      </c>
      <c r="J27" s="38" t="s">
        <v>10</v>
      </c>
      <c r="K27" s="38" t="s">
        <v>810</v>
      </c>
      <c r="L27" s="38" t="s">
        <v>810</v>
      </c>
      <c r="M27" s="38" t="s">
        <v>806</v>
      </c>
      <c r="N27" s="38" t="s">
        <v>679</v>
      </c>
      <c r="O27" s="38" t="s">
        <v>738</v>
      </c>
      <c r="P27" s="38" t="s">
        <v>776</v>
      </c>
      <c r="Q27" s="38" t="s">
        <v>665</v>
      </c>
      <c r="R27" s="38" t="s">
        <v>720</v>
      </c>
      <c r="S27" s="38" t="s">
        <v>777</v>
      </c>
      <c r="T27" s="38" t="s">
        <v>811</v>
      </c>
      <c r="U27" s="38"/>
    </row>
    <row r="28" spans="1:21" x14ac:dyDescent="0.25">
      <c r="A28" s="38">
        <v>28</v>
      </c>
      <c r="B28" s="38" t="s">
        <v>812</v>
      </c>
      <c r="C28" s="38" t="s">
        <v>683</v>
      </c>
      <c r="D28" s="38" t="s">
        <v>684</v>
      </c>
      <c r="E28" s="38" t="s">
        <v>685</v>
      </c>
      <c r="F28" s="36" t="s">
        <v>303</v>
      </c>
      <c r="G28" s="36" t="str">
        <f>IFERROR(VLOOKUP(F28,EMP_Info[[Full name]:[Department]],2,FALSE),F28)</f>
        <v>Production</v>
      </c>
      <c r="H28" s="38" t="s">
        <v>10</v>
      </c>
      <c r="I28" s="38" t="s">
        <v>665</v>
      </c>
      <c r="J28" s="38" t="s">
        <v>665</v>
      </c>
      <c r="K28" s="38" t="s">
        <v>813</v>
      </c>
      <c r="L28" s="38" t="s">
        <v>813</v>
      </c>
      <c r="M28" s="38" t="s">
        <v>806</v>
      </c>
      <c r="N28" s="38" t="s">
        <v>679</v>
      </c>
      <c r="O28" s="38" t="s">
        <v>738</v>
      </c>
      <c r="P28" s="38" t="s">
        <v>776</v>
      </c>
      <c r="Q28" s="38" t="s">
        <v>665</v>
      </c>
      <c r="R28" s="38" t="s">
        <v>720</v>
      </c>
      <c r="S28" s="38" t="s">
        <v>777</v>
      </c>
      <c r="T28" s="38" t="s">
        <v>814</v>
      </c>
      <c r="U28" s="38"/>
    </row>
    <row r="29" spans="1:21" x14ac:dyDescent="0.25">
      <c r="A29" s="38">
        <v>29</v>
      </c>
      <c r="B29" s="38" t="s">
        <v>815</v>
      </c>
      <c r="C29" s="38" t="s">
        <v>683</v>
      </c>
      <c r="D29" s="38" t="s">
        <v>684</v>
      </c>
      <c r="E29" s="38" t="s">
        <v>685</v>
      </c>
      <c r="F29" s="36" t="s">
        <v>321</v>
      </c>
      <c r="G29" s="36" t="str">
        <f>IFERROR(VLOOKUP(F29,EMP_Info[[Full name]:[Department]],2,FALSE),F29)</f>
        <v>EHS</v>
      </c>
      <c r="H29" s="38" t="s">
        <v>816</v>
      </c>
      <c r="I29" s="38" t="s">
        <v>665</v>
      </c>
      <c r="J29" s="38" t="s">
        <v>665</v>
      </c>
      <c r="K29" s="38" t="s">
        <v>817</v>
      </c>
      <c r="L29" s="38" t="s">
        <v>817</v>
      </c>
      <c r="M29" s="38" t="s">
        <v>806</v>
      </c>
      <c r="N29" s="38" t="s">
        <v>679</v>
      </c>
      <c r="O29" s="38" t="s">
        <v>738</v>
      </c>
      <c r="P29" s="38" t="s">
        <v>776</v>
      </c>
      <c r="Q29" s="38" t="s">
        <v>665</v>
      </c>
      <c r="R29" s="38" t="s">
        <v>720</v>
      </c>
      <c r="S29" s="38" t="s">
        <v>777</v>
      </c>
      <c r="T29" s="38" t="s">
        <v>818</v>
      </c>
      <c r="U29" s="38"/>
    </row>
    <row r="30" spans="1:21" x14ac:dyDescent="0.25">
      <c r="A30" s="38">
        <v>30</v>
      </c>
      <c r="B30" s="38" t="s">
        <v>819</v>
      </c>
      <c r="C30" s="38" t="s">
        <v>683</v>
      </c>
      <c r="D30" s="38" t="s">
        <v>684</v>
      </c>
      <c r="E30" s="38" t="s">
        <v>685</v>
      </c>
      <c r="F30" s="36" t="s">
        <v>211</v>
      </c>
      <c r="G30" s="36" t="str">
        <f>IFERROR(VLOOKUP(F30,EMP_Info[[Full name]:[Department]],2,FALSE),F30)</f>
        <v>Instrument</v>
      </c>
      <c r="H30" s="38" t="s">
        <v>212</v>
      </c>
      <c r="I30" s="38" t="s">
        <v>665</v>
      </c>
      <c r="J30" s="38" t="s">
        <v>665</v>
      </c>
      <c r="K30" s="38" t="s">
        <v>820</v>
      </c>
      <c r="L30" s="38" t="s">
        <v>820</v>
      </c>
      <c r="M30" s="38" t="s">
        <v>821</v>
      </c>
      <c r="N30" s="38" t="s">
        <v>668</v>
      </c>
      <c r="O30" s="38" t="s">
        <v>669</v>
      </c>
      <c r="P30" s="38" t="s">
        <v>776</v>
      </c>
      <c r="Q30" s="38" t="s">
        <v>665</v>
      </c>
      <c r="R30" s="38" t="s">
        <v>720</v>
      </c>
      <c r="S30" s="38" t="s">
        <v>777</v>
      </c>
      <c r="T30" s="38" t="s">
        <v>822</v>
      </c>
      <c r="U30" s="38"/>
    </row>
    <row r="31" spans="1:21" x14ac:dyDescent="0.25">
      <c r="A31" s="38">
        <v>31</v>
      </c>
      <c r="B31" s="38" t="s">
        <v>823</v>
      </c>
      <c r="C31" s="38" t="s">
        <v>683</v>
      </c>
      <c r="D31" s="38" t="s">
        <v>684</v>
      </c>
      <c r="E31" s="38" t="s">
        <v>685</v>
      </c>
      <c r="F31" s="36" t="s">
        <v>108</v>
      </c>
      <c r="G31" s="36" t="str">
        <f>IFERROR(VLOOKUP(F31,EMP_Info[[Full name]:[Department]],2,FALSE),F31)</f>
        <v>Accounts</v>
      </c>
      <c r="H31" s="38" t="s">
        <v>73</v>
      </c>
      <c r="I31" s="38" t="s">
        <v>665</v>
      </c>
      <c r="J31" s="38" t="s">
        <v>665</v>
      </c>
      <c r="K31" s="38" t="s">
        <v>824</v>
      </c>
      <c r="L31" s="38" t="s">
        <v>824</v>
      </c>
      <c r="M31" s="38" t="s">
        <v>825</v>
      </c>
      <c r="N31" s="38" t="s">
        <v>679</v>
      </c>
      <c r="O31" s="38" t="s">
        <v>669</v>
      </c>
      <c r="P31" s="38" t="s">
        <v>776</v>
      </c>
      <c r="Q31" s="38" t="s">
        <v>665</v>
      </c>
      <c r="R31" s="38" t="s">
        <v>720</v>
      </c>
      <c r="S31" s="38" t="s">
        <v>777</v>
      </c>
      <c r="T31" s="38" t="s">
        <v>826</v>
      </c>
      <c r="U31" s="38"/>
    </row>
    <row r="32" spans="1:21" x14ac:dyDescent="0.25">
      <c r="A32" s="38">
        <v>32</v>
      </c>
      <c r="B32" s="38" t="s">
        <v>827</v>
      </c>
      <c r="C32" s="38" t="s">
        <v>683</v>
      </c>
      <c r="D32" s="38" t="s">
        <v>684</v>
      </c>
      <c r="E32" s="38" t="s">
        <v>662</v>
      </c>
      <c r="F32" s="36" t="s">
        <v>1442</v>
      </c>
      <c r="G32" s="36" t="str">
        <f>IFERROR(VLOOKUP(F32,EMP_Info[[Full name]:[Department]],2,FALSE),F32)</f>
        <v>Operation</v>
      </c>
      <c r="H32" s="38" t="s">
        <v>445</v>
      </c>
      <c r="I32" s="38" t="s">
        <v>444</v>
      </c>
      <c r="J32" s="38" t="s">
        <v>445</v>
      </c>
      <c r="K32" s="38" t="s">
        <v>828</v>
      </c>
      <c r="L32" s="38" t="s">
        <v>828</v>
      </c>
      <c r="M32" s="38" t="s">
        <v>829</v>
      </c>
      <c r="N32" s="38" t="s">
        <v>749</v>
      </c>
      <c r="O32" s="38" t="s">
        <v>830</v>
      </c>
      <c r="P32" s="38" t="s">
        <v>831</v>
      </c>
      <c r="Q32" s="38" t="s">
        <v>665</v>
      </c>
      <c r="R32" s="38" t="s">
        <v>832</v>
      </c>
      <c r="S32" s="38" t="s">
        <v>777</v>
      </c>
      <c r="T32" s="38" t="s">
        <v>833</v>
      </c>
      <c r="U32" s="38"/>
    </row>
    <row r="33" spans="1:21" x14ac:dyDescent="0.25">
      <c r="A33" s="38">
        <v>33</v>
      </c>
      <c r="B33" s="40" t="s">
        <v>834</v>
      </c>
      <c r="C33" s="40" t="s">
        <v>25</v>
      </c>
      <c r="D33" s="40" t="s">
        <v>661</v>
      </c>
      <c r="E33" s="40" t="s">
        <v>685</v>
      </c>
      <c r="F33" s="36" t="s">
        <v>28</v>
      </c>
      <c r="G33" s="36" t="str">
        <f>IFERROR(VLOOKUP(F33,EMP_Info[[Full name]:[Department]],2,FALSE),F33)</f>
        <v>Electrical</v>
      </c>
      <c r="H33" s="40" t="s">
        <v>25</v>
      </c>
      <c r="I33" s="40" t="s">
        <v>835</v>
      </c>
      <c r="J33" s="40" t="s">
        <v>612</v>
      </c>
      <c r="K33" s="40" t="s">
        <v>836</v>
      </c>
      <c r="L33" s="40" t="s">
        <v>836</v>
      </c>
      <c r="M33" s="40" t="s">
        <v>837</v>
      </c>
      <c r="N33" s="40" t="s">
        <v>838</v>
      </c>
      <c r="O33" s="40" t="s">
        <v>839</v>
      </c>
      <c r="P33" s="40" t="s">
        <v>840</v>
      </c>
      <c r="Q33" s="40"/>
      <c r="R33" s="40" t="s">
        <v>841</v>
      </c>
      <c r="S33" s="40" t="s">
        <v>842</v>
      </c>
      <c r="T33" s="38" t="s">
        <v>843</v>
      </c>
      <c r="U33" s="38"/>
    </row>
    <row r="34" spans="1:21" x14ac:dyDescent="0.25">
      <c r="A34" s="38">
        <v>35</v>
      </c>
      <c r="B34" s="40" t="s">
        <v>844</v>
      </c>
      <c r="C34" s="40" t="s">
        <v>675</v>
      </c>
      <c r="D34" s="40" t="s">
        <v>661</v>
      </c>
      <c r="E34" s="40" t="s">
        <v>685</v>
      </c>
      <c r="F34" s="36" t="s">
        <v>399</v>
      </c>
      <c r="G34" s="36" t="str">
        <f>IFERROR(VLOOKUP(F34,EMP_Info[[Full name]:[Department]],2,FALSE),F34)</f>
        <v>Technical Services</v>
      </c>
      <c r="H34" s="40" t="s">
        <v>156</v>
      </c>
      <c r="I34" s="40" t="s">
        <v>845</v>
      </c>
      <c r="J34" s="40" t="s">
        <v>612</v>
      </c>
      <c r="K34" s="40" t="s">
        <v>846</v>
      </c>
      <c r="L34" s="40" t="s">
        <v>846</v>
      </c>
      <c r="M34" s="40" t="s">
        <v>837</v>
      </c>
      <c r="N34" s="40" t="s">
        <v>838</v>
      </c>
      <c r="O34" s="40" t="s">
        <v>847</v>
      </c>
      <c r="P34" s="40" t="s">
        <v>846</v>
      </c>
      <c r="Q34" s="40" t="s">
        <v>671</v>
      </c>
      <c r="R34" s="40" t="s">
        <v>672</v>
      </c>
      <c r="S34" s="40" t="s">
        <v>848</v>
      </c>
      <c r="T34" s="38" t="s">
        <v>849</v>
      </c>
      <c r="U34" s="38"/>
    </row>
    <row r="35" spans="1:21" x14ac:dyDescent="0.25">
      <c r="A35" s="38">
        <v>36</v>
      </c>
      <c r="B35" s="40" t="s">
        <v>850</v>
      </c>
      <c r="C35" s="40" t="s">
        <v>851</v>
      </c>
      <c r="D35" s="40" t="s">
        <v>661</v>
      </c>
      <c r="E35" s="40" t="s">
        <v>685</v>
      </c>
      <c r="F35" s="36" t="s">
        <v>852</v>
      </c>
      <c r="G35" s="36" t="str">
        <f>IFERROR(VLOOKUP(F35,EMP_Info[[Full name]:[Department]],2,FALSE),F35)</f>
        <v>Security</v>
      </c>
      <c r="H35" s="40" t="s">
        <v>852</v>
      </c>
      <c r="I35" s="40" t="s">
        <v>853</v>
      </c>
      <c r="J35" s="40" t="s">
        <v>36</v>
      </c>
      <c r="K35" s="40" t="s">
        <v>846</v>
      </c>
      <c r="L35" s="40" t="s">
        <v>846</v>
      </c>
      <c r="M35" s="40" t="s">
        <v>837</v>
      </c>
      <c r="N35" s="40" t="s">
        <v>854</v>
      </c>
      <c r="O35" s="40"/>
      <c r="P35" s="40"/>
      <c r="Q35" s="40" t="s">
        <v>719</v>
      </c>
      <c r="R35" s="40" t="s">
        <v>855</v>
      </c>
      <c r="S35" s="40" t="s">
        <v>856</v>
      </c>
      <c r="T35" s="38" t="s">
        <v>857</v>
      </c>
      <c r="U35" s="38"/>
    </row>
    <row r="36" spans="1:21" x14ac:dyDescent="0.25">
      <c r="A36" s="38">
        <v>37</v>
      </c>
      <c r="B36" s="61" t="s">
        <v>858</v>
      </c>
      <c r="C36" s="61" t="s">
        <v>859</v>
      </c>
      <c r="D36" s="61" t="s">
        <v>661</v>
      </c>
      <c r="E36" s="40" t="s">
        <v>685</v>
      </c>
      <c r="F36" s="36" t="s">
        <v>72</v>
      </c>
      <c r="G36" s="36" t="str">
        <f>IFERROR(VLOOKUP(F36,EMP_Info[[Full name]:[Department]],2,FALSE),F36)</f>
        <v>Accounts</v>
      </c>
      <c r="H36" s="61" t="s">
        <v>860</v>
      </c>
      <c r="I36" s="61" t="s">
        <v>861</v>
      </c>
      <c r="J36" s="61" t="s">
        <v>73</v>
      </c>
      <c r="K36" s="61" t="s">
        <v>846</v>
      </c>
      <c r="L36" s="61" t="s">
        <v>846</v>
      </c>
      <c r="M36" s="61" t="s">
        <v>862</v>
      </c>
      <c r="N36" s="61" t="s">
        <v>679</v>
      </c>
      <c r="O36" s="61" t="s">
        <v>839</v>
      </c>
      <c r="P36" s="61"/>
      <c r="Q36" s="61" t="s">
        <v>863</v>
      </c>
      <c r="R36" s="61" t="s">
        <v>864</v>
      </c>
      <c r="S36" s="61" t="s">
        <v>865</v>
      </c>
      <c r="T36" s="38" t="s">
        <v>866</v>
      </c>
      <c r="U36" s="38"/>
    </row>
    <row r="37" spans="1:21" x14ac:dyDescent="0.25">
      <c r="A37" s="38">
        <v>38</v>
      </c>
      <c r="B37" s="61" t="s">
        <v>867</v>
      </c>
      <c r="C37" s="61" t="s">
        <v>859</v>
      </c>
      <c r="D37" s="61" t="s">
        <v>661</v>
      </c>
      <c r="E37" s="40" t="s">
        <v>685</v>
      </c>
      <c r="F37" s="36" t="s">
        <v>868</v>
      </c>
      <c r="G37" s="36" t="str">
        <f>IFERROR(VLOOKUP(F37,EMP_Info[[Full name]:[Department]],2,FALSE),F37)</f>
        <v>Audit (E16 Account)</v>
      </c>
      <c r="H37" s="61" t="s">
        <v>860</v>
      </c>
      <c r="I37" s="61" t="s">
        <v>869</v>
      </c>
      <c r="J37" s="61" t="s">
        <v>73</v>
      </c>
      <c r="K37" s="61" t="s">
        <v>846</v>
      </c>
      <c r="L37" s="61" t="s">
        <v>846</v>
      </c>
      <c r="M37" s="61" t="s">
        <v>837</v>
      </c>
      <c r="N37" s="61" t="s">
        <v>854</v>
      </c>
      <c r="O37" s="61"/>
      <c r="P37" s="61" t="s">
        <v>863</v>
      </c>
      <c r="Q37" s="61" t="s">
        <v>863</v>
      </c>
      <c r="R37" s="61" t="s">
        <v>672</v>
      </c>
      <c r="S37" s="61" t="s">
        <v>865</v>
      </c>
      <c r="T37" s="38" t="s">
        <v>870</v>
      </c>
      <c r="U37" s="38"/>
    </row>
    <row r="38" spans="1:21" x14ac:dyDescent="0.25">
      <c r="A38" s="38">
        <v>39</v>
      </c>
      <c r="B38" s="61" t="s">
        <v>871</v>
      </c>
      <c r="C38" s="61" t="s">
        <v>859</v>
      </c>
      <c r="D38" s="61" t="s">
        <v>661</v>
      </c>
      <c r="E38" s="40" t="s">
        <v>685</v>
      </c>
      <c r="F38" s="36" t="s">
        <v>872</v>
      </c>
      <c r="G38" s="36" t="str">
        <f>IFERROR(VLOOKUP(F38,EMP_Info[[Full name]:[Department]],2,FALSE),F38)</f>
        <v>Account Officer</v>
      </c>
      <c r="H38" s="61" t="s">
        <v>860</v>
      </c>
      <c r="I38" s="61" t="s">
        <v>873</v>
      </c>
      <c r="J38" s="61" t="s">
        <v>73</v>
      </c>
      <c r="K38" s="61" t="s">
        <v>874</v>
      </c>
      <c r="L38" s="61" t="s">
        <v>874</v>
      </c>
      <c r="M38" s="61" t="s">
        <v>862</v>
      </c>
      <c r="N38" s="61" t="s">
        <v>679</v>
      </c>
      <c r="O38" s="61" t="s">
        <v>839</v>
      </c>
      <c r="P38" s="61"/>
      <c r="Q38" s="61" t="s">
        <v>863</v>
      </c>
      <c r="R38" s="61" t="s">
        <v>875</v>
      </c>
      <c r="S38" s="61" t="s">
        <v>856</v>
      </c>
      <c r="T38" s="38" t="s">
        <v>876</v>
      </c>
      <c r="U38" s="38"/>
    </row>
    <row r="39" spans="1:21" x14ac:dyDescent="0.25">
      <c r="A39" s="38">
        <v>40</v>
      </c>
      <c r="B39" s="61" t="s">
        <v>877</v>
      </c>
      <c r="C39" s="61" t="s">
        <v>878</v>
      </c>
      <c r="D39" s="61" t="s">
        <v>661</v>
      </c>
      <c r="E39" s="40" t="s">
        <v>685</v>
      </c>
      <c r="F39" s="36" t="s">
        <v>879</v>
      </c>
      <c r="G39" s="36" t="str">
        <f>IFERROR(VLOOKUP(F39,EMP_Info[[Full name]:[Department]],2,FALSE),F39)</f>
        <v>Dhiraj Mane</v>
      </c>
      <c r="H39" s="61" t="s">
        <v>17</v>
      </c>
      <c r="I39" s="61" t="s">
        <v>880</v>
      </c>
      <c r="J39" s="61" t="s">
        <v>881</v>
      </c>
      <c r="K39" s="61" t="s">
        <v>882</v>
      </c>
      <c r="L39" s="61" t="s">
        <v>882</v>
      </c>
      <c r="M39" s="61" t="s">
        <v>862</v>
      </c>
      <c r="N39" s="61" t="s">
        <v>679</v>
      </c>
      <c r="O39" s="61" t="s">
        <v>839</v>
      </c>
      <c r="P39" s="61"/>
      <c r="Q39" s="61" t="s">
        <v>671</v>
      </c>
      <c r="R39" s="61" t="s">
        <v>864</v>
      </c>
      <c r="S39" s="61" t="s">
        <v>848</v>
      </c>
      <c r="T39" s="38" t="s">
        <v>883</v>
      </c>
      <c r="U39" s="38"/>
    </row>
    <row r="40" spans="1:21" x14ac:dyDescent="0.25">
      <c r="A40" s="38">
        <v>41</v>
      </c>
      <c r="B40" s="40" t="s">
        <v>884</v>
      </c>
      <c r="C40" s="40" t="s">
        <v>885</v>
      </c>
      <c r="D40" s="40" t="s">
        <v>661</v>
      </c>
      <c r="E40" s="40" t="s">
        <v>685</v>
      </c>
      <c r="F40" s="36" t="s">
        <v>852</v>
      </c>
      <c r="G40" s="36" t="str">
        <f>IFERROR(VLOOKUP(F40,EMP_Info[[Full name]:[Department]],2,FALSE),F40)</f>
        <v>Security</v>
      </c>
      <c r="H40" s="40" t="s">
        <v>852</v>
      </c>
      <c r="I40" s="40" t="s">
        <v>886</v>
      </c>
      <c r="J40" s="40" t="s">
        <v>881</v>
      </c>
      <c r="K40" s="40" t="s">
        <v>846</v>
      </c>
      <c r="L40" s="40" t="s">
        <v>846</v>
      </c>
      <c r="M40" s="40" t="s">
        <v>837</v>
      </c>
      <c r="N40" s="40" t="s">
        <v>887</v>
      </c>
      <c r="O40" s="40"/>
      <c r="P40" s="40"/>
      <c r="Q40" s="40" t="s">
        <v>671</v>
      </c>
      <c r="R40" s="40" t="s">
        <v>864</v>
      </c>
      <c r="S40" s="40" t="s">
        <v>856</v>
      </c>
      <c r="T40" s="38" t="s">
        <v>888</v>
      </c>
      <c r="U40" s="38"/>
    </row>
    <row r="41" spans="1:21" x14ac:dyDescent="0.25">
      <c r="A41" s="38">
        <v>42</v>
      </c>
      <c r="B41" s="40" t="s">
        <v>889</v>
      </c>
      <c r="C41" s="40" t="s">
        <v>878</v>
      </c>
      <c r="D41" s="40" t="s">
        <v>661</v>
      </c>
      <c r="E41" s="40" t="s">
        <v>685</v>
      </c>
      <c r="F41" s="36" t="s">
        <v>125</v>
      </c>
      <c r="G41" s="36" t="str">
        <f>IFERROR(VLOOKUP(F41,EMP_Info[[Full name]:[Department]],2,FALSE),F41)</f>
        <v>Utility</v>
      </c>
      <c r="H41" s="40" t="s">
        <v>125</v>
      </c>
      <c r="I41" s="40" t="s">
        <v>890</v>
      </c>
      <c r="J41" s="40" t="s">
        <v>36</v>
      </c>
      <c r="K41" s="40" t="s">
        <v>891</v>
      </c>
      <c r="L41" s="40" t="s">
        <v>891</v>
      </c>
      <c r="M41" s="40" t="s">
        <v>862</v>
      </c>
      <c r="N41" s="40" t="s">
        <v>838</v>
      </c>
      <c r="O41" s="40" t="s">
        <v>839</v>
      </c>
      <c r="P41" s="40"/>
      <c r="Q41" s="40" t="s">
        <v>863</v>
      </c>
      <c r="R41" s="40" t="s">
        <v>892</v>
      </c>
      <c r="S41" s="40" t="s">
        <v>856</v>
      </c>
      <c r="T41" s="38" t="s">
        <v>893</v>
      </c>
      <c r="U41" s="38"/>
    </row>
    <row r="42" spans="1:21" x14ac:dyDescent="0.25">
      <c r="A42" s="38">
        <v>43</v>
      </c>
      <c r="B42" s="40" t="s">
        <v>894</v>
      </c>
      <c r="C42" s="40" t="s">
        <v>895</v>
      </c>
      <c r="D42" s="40" t="s">
        <v>661</v>
      </c>
      <c r="E42" s="40" t="s">
        <v>685</v>
      </c>
      <c r="F42" s="36" t="s">
        <v>896</v>
      </c>
      <c r="G42" s="36" t="str">
        <f>IFERROR(VLOOKUP(F42,EMP_Info[[Full name]:[Department]],2,FALSE),F42)</f>
        <v>Shift Officer</v>
      </c>
      <c r="H42" s="40" t="s">
        <v>10</v>
      </c>
      <c r="I42" s="40" t="s">
        <v>897</v>
      </c>
      <c r="J42" s="40" t="s">
        <v>10</v>
      </c>
      <c r="K42" s="40" t="s">
        <v>846</v>
      </c>
      <c r="L42" s="40" t="s">
        <v>846</v>
      </c>
      <c r="M42" s="40" t="s">
        <v>837</v>
      </c>
      <c r="N42" s="40" t="s">
        <v>838</v>
      </c>
      <c r="O42" s="40" t="s">
        <v>847</v>
      </c>
      <c r="P42" s="40" t="s">
        <v>719</v>
      </c>
      <c r="Q42" s="40"/>
      <c r="R42" s="40" t="s">
        <v>681</v>
      </c>
      <c r="S42" s="40" t="s">
        <v>865</v>
      </c>
      <c r="T42" s="38" t="s">
        <v>898</v>
      </c>
      <c r="U42" s="38"/>
    </row>
    <row r="43" spans="1:21" ht="31.5" x14ac:dyDescent="0.25">
      <c r="A43" s="38">
        <v>44</v>
      </c>
      <c r="B43" s="40" t="s">
        <v>899</v>
      </c>
      <c r="C43" s="40" t="s">
        <v>675</v>
      </c>
      <c r="D43" s="40" t="s">
        <v>661</v>
      </c>
      <c r="E43" s="40" t="s">
        <v>685</v>
      </c>
      <c r="F43" s="36" t="s">
        <v>1514</v>
      </c>
      <c r="G43" s="36" t="str">
        <f>IFERROR(VLOOKUP(F43,EMP_Info[[Full name]:[Department]],2,FALSE),F43)</f>
        <v>Not Working</v>
      </c>
      <c r="H43" s="40" t="s">
        <v>332</v>
      </c>
      <c r="I43" s="40" t="s">
        <v>379</v>
      </c>
      <c r="J43" s="40" t="s">
        <v>332</v>
      </c>
      <c r="K43" s="40" t="s">
        <v>846</v>
      </c>
      <c r="L43" s="40" t="s">
        <v>846</v>
      </c>
      <c r="M43" s="40" t="s">
        <v>837</v>
      </c>
      <c r="N43" s="40" t="s">
        <v>838</v>
      </c>
      <c r="O43" s="40" t="s">
        <v>706</v>
      </c>
      <c r="P43" s="40"/>
      <c r="Q43" s="40" t="s">
        <v>671</v>
      </c>
      <c r="R43" s="40" t="s">
        <v>672</v>
      </c>
      <c r="S43" s="40" t="s">
        <v>848</v>
      </c>
      <c r="T43" s="38" t="s">
        <v>901</v>
      </c>
      <c r="U43" s="38"/>
    </row>
    <row r="44" spans="1:21" x14ac:dyDescent="0.25">
      <c r="A44" s="38">
        <v>45</v>
      </c>
      <c r="B44" s="40" t="s">
        <v>902</v>
      </c>
      <c r="C44" s="40" t="s">
        <v>131</v>
      </c>
      <c r="D44" s="40" t="s">
        <v>661</v>
      </c>
      <c r="E44" s="40" t="s">
        <v>662</v>
      </c>
      <c r="F44" s="36" t="s">
        <v>590</v>
      </c>
      <c r="G44" s="36" t="str">
        <f>IFERROR(VLOOKUP(F44,EMP_Info[[Full name]:[Department]],2,FALSE),F44)</f>
        <v>Store</v>
      </c>
      <c r="H44" s="40" t="s">
        <v>903</v>
      </c>
      <c r="I44" s="40" t="s">
        <v>188</v>
      </c>
      <c r="J44" s="40" t="s">
        <v>10</v>
      </c>
      <c r="K44" s="40" t="s">
        <v>846</v>
      </c>
      <c r="L44" s="40" t="s">
        <v>846</v>
      </c>
      <c r="M44" s="40" t="s">
        <v>837</v>
      </c>
      <c r="N44" s="40" t="s">
        <v>668</v>
      </c>
      <c r="O44" s="40" t="s">
        <v>904</v>
      </c>
      <c r="P44" s="40" t="s">
        <v>840</v>
      </c>
      <c r="Q44" s="40"/>
      <c r="R44" s="40" t="s">
        <v>875</v>
      </c>
      <c r="S44" s="40" t="s">
        <v>848</v>
      </c>
      <c r="T44" s="38" t="s">
        <v>905</v>
      </c>
      <c r="U44" s="38"/>
    </row>
    <row r="45" spans="1:21" x14ac:dyDescent="0.25">
      <c r="A45" s="38">
        <v>46</v>
      </c>
      <c r="B45" s="40" t="s">
        <v>906</v>
      </c>
      <c r="C45" s="40" t="s">
        <v>907</v>
      </c>
      <c r="D45" s="40" t="s">
        <v>661</v>
      </c>
      <c r="E45" s="40" t="s">
        <v>662</v>
      </c>
      <c r="F45" s="36" t="s">
        <v>907</v>
      </c>
      <c r="G45" s="36" t="str">
        <f>IFERROR(VLOOKUP(F45,EMP_Info[[Full name]:[Department]],2,FALSE),F45)</f>
        <v>PLC Room</v>
      </c>
      <c r="H45" s="40" t="s">
        <v>10</v>
      </c>
      <c r="I45" s="36" t="s">
        <v>346</v>
      </c>
      <c r="J45" s="40" t="s">
        <v>10</v>
      </c>
      <c r="K45" s="40" t="s">
        <v>846</v>
      </c>
      <c r="L45" s="40" t="s">
        <v>846</v>
      </c>
      <c r="M45" s="40" t="s">
        <v>837</v>
      </c>
      <c r="N45" s="40" t="s">
        <v>838</v>
      </c>
      <c r="O45" s="40" t="s">
        <v>904</v>
      </c>
      <c r="P45" s="40" t="s">
        <v>719</v>
      </c>
      <c r="Q45" s="40"/>
      <c r="R45" s="40" t="s">
        <v>720</v>
      </c>
      <c r="S45" s="40" t="s">
        <v>848</v>
      </c>
      <c r="T45" s="38" t="s">
        <v>908</v>
      </c>
      <c r="U45" s="38"/>
    </row>
    <row r="46" spans="1:21" x14ac:dyDescent="0.25">
      <c r="A46" s="38">
        <v>47</v>
      </c>
      <c r="B46" s="40" t="s">
        <v>909</v>
      </c>
      <c r="C46" s="40" t="s">
        <v>878</v>
      </c>
      <c r="D46" s="40" t="s">
        <v>661</v>
      </c>
      <c r="E46" s="40" t="s">
        <v>685</v>
      </c>
      <c r="F46" s="36" t="s">
        <v>147</v>
      </c>
      <c r="G46" s="36" t="str">
        <f>IFERROR(VLOOKUP(F46,EMP_Info[[Full name]:[Department]],2,FALSE),F46)</f>
        <v>Production</v>
      </c>
      <c r="H46" s="40" t="s">
        <v>10</v>
      </c>
      <c r="I46" s="40" t="s">
        <v>910</v>
      </c>
      <c r="J46" s="40" t="s">
        <v>10</v>
      </c>
      <c r="K46" s="40" t="s">
        <v>846</v>
      </c>
      <c r="L46" s="40" t="s">
        <v>846</v>
      </c>
      <c r="M46" s="40" t="s">
        <v>837</v>
      </c>
      <c r="N46" s="40" t="s">
        <v>838</v>
      </c>
      <c r="O46" s="40" t="s">
        <v>706</v>
      </c>
      <c r="P46" s="40" t="s">
        <v>840</v>
      </c>
      <c r="Q46" s="40"/>
      <c r="R46" s="40" t="s">
        <v>681</v>
      </c>
      <c r="S46" s="40" t="s">
        <v>848</v>
      </c>
      <c r="T46" s="38" t="s">
        <v>911</v>
      </c>
      <c r="U46" s="38"/>
    </row>
    <row r="47" spans="1:21" x14ac:dyDescent="0.25">
      <c r="A47" s="38">
        <v>48</v>
      </c>
      <c r="B47" s="40" t="s">
        <v>912</v>
      </c>
      <c r="C47" s="40" t="s">
        <v>675</v>
      </c>
      <c r="D47" s="40" t="s">
        <v>661</v>
      </c>
      <c r="E47" s="40" t="s">
        <v>685</v>
      </c>
      <c r="F47" s="36" t="s">
        <v>1514</v>
      </c>
      <c r="G47" s="36" t="str">
        <f>IFERROR(VLOOKUP(F47,EMP_Info[[Full name]:[Department]],2,FALSE),F47)</f>
        <v>Not Working</v>
      </c>
      <c r="H47" s="40" t="s">
        <v>332</v>
      </c>
      <c r="I47" s="40" t="s">
        <v>331</v>
      </c>
      <c r="J47" s="40" t="s">
        <v>332</v>
      </c>
      <c r="K47" s="40" t="s">
        <v>846</v>
      </c>
      <c r="L47" s="40" t="s">
        <v>846</v>
      </c>
      <c r="M47" s="40" t="s">
        <v>837</v>
      </c>
      <c r="N47" s="40" t="s">
        <v>679</v>
      </c>
      <c r="O47" s="40" t="s">
        <v>914</v>
      </c>
      <c r="P47" s="40"/>
      <c r="Q47" s="40" t="s">
        <v>671</v>
      </c>
      <c r="R47" s="40" t="s">
        <v>864</v>
      </c>
      <c r="S47" s="40" t="s">
        <v>848</v>
      </c>
      <c r="T47" s="38" t="s">
        <v>915</v>
      </c>
      <c r="U47" s="38"/>
    </row>
    <row r="48" spans="1:21" x14ac:dyDescent="0.25">
      <c r="A48" s="38">
        <v>49</v>
      </c>
      <c r="B48" s="40" t="s">
        <v>916</v>
      </c>
      <c r="C48" s="40" t="s">
        <v>675</v>
      </c>
      <c r="D48" s="40" t="s">
        <v>661</v>
      </c>
      <c r="E48" s="40" t="s">
        <v>685</v>
      </c>
      <c r="F48" s="36" t="s">
        <v>274</v>
      </c>
      <c r="G48" s="36" t="str">
        <f>IFERROR(VLOOKUP(F48,EMP_Info[[Full name]:[Department]],2,FALSE),F48)</f>
        <v>Technical Services</v>
      </c>
      <c r="H48" s="40" t="s">
        <v>332</v>
      </c>
      <c r="I48" s="40" t="s">
        <v>900</v>
      </c>
      <c r="J48" s="40" t="s">
        <v>913</v>
      </c>
      <c r="K48" s="40" t="s">
        <v>917</v>
      </c>
      <c r="L48" s="40" t="s">
        <v>917</v>
      </c>
      <c r="M48" s="40" t="s">
        <v>667</v>
      </c>
      <c r="N48" s="40" t="s">
        <v>679</v>
      </c>
      <c r="O48" s="40" t="s">
        <v>680</v>
      </c>
      <c r="P48" s="40" t="s">
        <v>670</v>
      </c>
      <c r="Q48" s="40"/>
      <c r="R48" s="40" t="s">
        <v>672</v>
      </c>
      <c r="S48" s="40" t="s">
        <v>673</v>
      </c>
      <c r="T48" s="38" t="s">
        <v>918</v>
      </c>
      <c r="U48" s="38"/>
    </row>
    <row r="49" spans="1:21" x14ac:dyDescent="0.25">
      <c r="A49" s="38">
        <v>50</v>
      </c>
      <c r="B49" s="61" t="s">
        <v>919</v>
      </c>
      <c r="C49" s="61" t="s">
        <v>920</v>
      </c>
      <c r="D49" s="61" t="s">
        <v>661</v>
      </c>
      <c r="E49" s="40" t="s">
        <v>685</v>
      </c>
      <c r="F49" s="36" t="s">
        <v>1514</v>
      </c>
      <c r="G49" s="36" t="str">
        <f>IFERROR(VLOOKUP(F49,EMP_Info[[Full name]:[Department]],2,FALSE),F49)</f>
        <v>Not Working</v>
      </c>
      <c r="H49" s="61" t="s">
        <v>14</v>
      </c>
      <c r="I49" s="61" t="s">
        <v>921</v>
      </c>
      <c r="J49" s="61" t="s">
        <v>922</v>
      </c>
      <c r="K49" s="61" t="s">
        <v>846</v>
      </c>
      <c r="L49" s="61" t="s">
        <v>846</v>
      </c>
      <c r="M49" s="61" t="s">
        <v>837</v>
      </c>
      <c r="N49" s="61" t="s">
        <v>838</v>
      </c>
      <c r="O49" s="61" t="s">
        <v>706</v>
      </c>
      <c r="P49" s="61"/>
      <c r="Q49" s="61" t="s">
        <v>671</v>
      </c>
      <c r="R49" s="61" t="s">
        <v>864</v>
      </c>
      <c r="S49" s="61" t="s">
        <v>842</v>
      </c>
      <c r="T49" s="38" t="s">
        <v>923</v>
      </c>
      <c r="U49" s="38" t="s">
        <v>924</v>
      </c>
    </row>
    <row r="50" spans="1:21" x14ac:dyDescent="0.25">
      <c r="A50" s="38">
        <v>51</v>
      </c>
      <c r="B50" s="38" t="s">
        <v>925</v>
      </c>
      <c r="C50" s="38" t="s">
        <v>926</v>
      </c>
      <c r="D50" s="38" t="s">
        <v>661</v>
      </c>
      <c r="E50" s="40" t="s">
        <v>685</v>
      </c>
      <c r="F50" s="36" t="s">
        <v>104</v>
      </c>
      <c r="G50" s="36" t="str">
        <f>IFERROR(VLOOKUP(F50,EMP_Info[[Full name]:[Department]],2,FALSE),F50)</f>
        <v>QC &amp; QA</v>
      </c>
      <c r="H50" s="38" t="s">
        <v>927</v>
      </c>
      <c r="I50" s="38" t="s">
        <v>928</v>
      </c>
      <c r="J50" s="38" t="s">
        <v>927</v>
      </c>
      <c r="K50" s="38" t="s">
        <v>846</v>
      </c>
      <c r="L50" s="38" t="s">
        <v>846</v>
      </c>
      <c r="M50" s="38" t="s">
        <v>837</v>
      </c>
      <c r="N50" s="38" t="s">
        <v>668</v>
      </c>
      <c r="O50" s="38" t="s">
        <v>732</v>
      </c>
      <c r="P50" s="38" t="s">
        <v>840</v>
      </c>
      <c r="Q50" s="38" t="s">
        <v>719</v>
      </c>
      <c r="R50" s="38" t="s">
        <v>720</v>
      </c>
      <c r="S50" s="38" t="s">
        <v>848</v>
      </c>
      <c r="T50" s="38" t="s">
        <v>929</v>
      </c>
      <c r="U50" s="38"/>
    </row>
    <row r="51" spans="1:21" x14ac:dyDescent="0.25">
      <c r="A51" s="38">
        <v>52</v>
      </c>
      <c r="B51" s="61" t="s">
        <v>930</v>
      </c>
      <c r="C51" s="61" t="s">
        <v>926</v>
      </c>
      <c r="D51" s="61" t="s">
        <v>661</v>
      </c>
      <c r="E51" s="40" t="s">
        <v>685</v>
      </c>
      <c r="F51" s="36" t="s">
        <v>753</v>
      </c>
      <c r="G51" s="36" t="str">
        <f>IFERROR(VLOOKUP(F51,EMP_Info[[Full name]:[Department]],2,FALSE),F51)</f>
        <v>QC</v>
      </c>
      <c r="H51" s="61" t="s">
        <v>753</v>
      </c>
      <c r="I51" s="61" t="s">
        <v>753</v>
      </c>
      <c r="J51" s="61" t="s">
        <v>927</v>
      </c>
      <c r="K51" s="61" t="s">
        <v>931</v>
      </c>
      <c r="L51" s="61" t="s">
        <v>931</v>
      </c>
      <c r="M51" s="61" t="s">
        <v>837</v>
      </c>
      <c r="N51" s="61" t="s">
        <v>668</v>
      </c>
      <c r="O51" s="61" t="s">
        <v>904</v>
      </c>
      <c r="P51" s="61"/>
      <c r="Q51" s="61" t="s">
        <v>719</v>
      </c>
      <c r="R51" s="61" t="s">
        <v>681</v>
      </c>
      <c r="S51" s="61" t="s">
        <v>932</v>
      </c>
      <c r="T51" s="38" t="s">
        <v>933</v>
      </c>
      <c r="U51" s="38"/>
    </row>
    <row r="52" spans="1:21" x14ac:dyDescent="0.25">
      <c r="A52" s="38">
        <v>53</v>
      </c>
      <c r="B52" s="61" t="s">
        <v>934</v>
      </c>
      <c r="C52" s="61" t="s">
        <v>926</v>
      </c>
      <c r="D52" s="61" t="s">
        <v>661</v>
      </c>
      <c r="E52" s="40" t="s">
        <v>685</v>
      </c>
      <c r="F52" s="36" t="s">
        <v>753</v>
      </c>
      <c r="G52" s="36" t="str">
        <f>IFERROR(VLOOKUP(F52,EMP_Info[[Full name]:[Department]],2,FALSE),F52)</f>
        <v>QC</v>
      </c>
      <c r="H52" s="61" t="s">
        <v>753</v>
      </c>
      <c r="I52" s="61" t="s">
        <v>935</v>
      </c>
      <c r="J52" s="61" t="s">
        <v>927</v>
      </c>
      <c r="K52" s="61" t="s">
        <v>936</v>
      </c>
      <c r="L52" s="61" t="s">
        <v>936</v>
      </c>
      <c r="M52" s="61" t="s">
        <v>937</v>
      </c>
      <c r="N52" s="61" t="s">
        <v>749</v>
      </c>
      <c r="O52" s="61" t="s">
        <v>669</v>
      </c>
      <c r="P52" s="61"/>
      <c r="Q52" s="61" t="s">
        <v>671</v>
      </c>
      <c r="R52" s="61" t="s">
        <v>726</v>
      </c>
      <c r="S52" s="61" t="s">
        <v>848</v>
      </c>
      <c r="T52" s="38" t="s">
        <v>938</v>
      </c>
      <c r="U52" s="38" t="s">
        <v>939</v>
      </c>
    </row>
    <row r="53" spans="1:21" x14ac:dyDescent="0.25">
      <c r="A53" s="38">
        <v>54</v>
      </c>
      <c r="B53" s="61" t="s">
        <v>940</v>
      </c>
      <c r="C53" s="61" t="s">
        <v>926</v>
      </c>
      <c r="D53" s="61" t="s">
        <v>661</v>
      </c>
      <c r="E53" s="40" t="s">
        <v>685</v>
      </c>
      <c r="F53" s="36" t="s">
        <v>753</v>
      </c>
      <c r="G53" s="36" t="str">
        <f>IFERROR(VLOOKUP(F53,EMP_Info[[Full name]:[Department]],2,FALSE),F53)</f>
        <v>QC</v>
      </c>
      <c r="H53" s="61" t="s">
        <v>753</v>
      </c>
      <c r="I53" s="61" t="s">
        <v>935</v>
      </c>
      <c r="J53" s="61" t="s">
        <v>927</v>
      </c>
      <c r="K53" s="61" t="s">
        <v>931</v>
      </c>
      <c r="L53" s="61" t="s">
        <v>931</v>
      </c>
      <c r="M53" s="61" t="s">
        <v>837</v>
      </c>
      <c r="N53" s="61" t="s">
        <v>679</v>
      </c>
      <c r="O53" s="61" t="s">
        <v>839</v>
      </c>
      <c r="P53" s="61"/>
      <c r="Q53" s="61" t="s">
        <v>719</v>
      </c>
      <c r="R53" s="61" t="s">
        <v>841</v>
      </c>
      <c r="S53" s="61" t="s">
        <v>932</v>
      </c>
      <c r="T53" s="38" t="s">
        <v>941</v>
      </c>
      <c r="U53" s="38" t="s">
        <v>942</v>
      </c>
    </row>
    <row r="54" spans="1:21" x14ac:dyDescent="0.25">
      <c r="A54" s="38">
        <v>55</v>
      </c>
      <c r="B54" s="40" t="s">
        <v>943</v>
      </c>
      <c r="C54" s="40" t="s">
        <v>878</v>
      </c>
      <c r="D54" s="40" t="s">
        <v>661</v>
      </c>
      <c r="E54" s="40" t="s">
        <v>685</v>
      </c>
      <c r="F54" s="36" t="s">
        <v>325</v>
      </c>
      <c r="G54" s="36" t="str">
        <f>IFERROR(VLOOKUP(F54,EMP_Info[[Full name]:[Department]],2,FALSE),F54)</f>
        <v>EHS</v>
      </c>
      <c r="H54" s="40" t="s">
        <v>944</v>
      </c>
      <c r="I54" s="40" t="s">
        <v>945</v>
      </c>
      <c r="J54" s="40" t="s">
        <v>816</v>
      </c>
      <c r="K54" s="40" t="s">
        <v>946</v>
      </c>
      <c r="L54" s="40" t="s">
        <v>846</v>
      </c>
      <c r="M54" s="40" t="s">
        <v>837</v>
      </c>
      <c r="N54" s="40" t="s">
        <v>838</v>
      </c>
      <c r="O54" s="40" t="s">
        <v>947</v>
      </c>
      <c r="P54" s="40" t="s">
        <v>719</v>
      </c>
      <c r="Q54" s="40" t="s">
        <v>863</v>
      </c>
      <c r="R54" s="40" t="s">
        <v>841</v>
      </c>
      <c r="S54" s="40" t="s">
        <v>848</v>
      </c>
      <c r="T54" s="38" t="s">
        <v>948</v>
      </c>
      <c r="U54" s="38"/>
    </row>
    <row r="55" spans="1:21" x14ac:dyDescent="0.25">
      <c r="A55" s="38">
        <v>56</v>
      </c>
      <c r="B55" s="40" t="s">
        <v>949</v>
      </c>
      <c r="C55" s="40" t="s">
        <v>950</v>
      </c>
      <c r="D55" s="40" t="s">
        <v>661</v>
      </c>
      <c r="E55" s="40" t="s">
        <v>685</v>
      </c>
      <c r="F55" s="36" t="s">
        <v>951</v>
      </c>
      <c r="G55" s="36" t="str">
        <f>IFERROR(VLOOKUP(F55,EMP_Info[[Full name]:[Department]],2,FALSE),F55)</f>
        <v>Abhijeet Deshpande</v>
      </c>
      <c r="H55" s="40" t="s">
        <v>952</v>
      </c>
      <c r="I55" s="40" t="s">
        <v>945</v>
      </c>
      <c r="J55" s="40" t="s">
        <v>816</v>
      </c>
      <c r="K55" s="40" t="s">
        <v>846</v>
      </c>
      <c r="L55" s="40" t="s">
        <v>846</v>
      </c>
      <c r="M55" s="40" t="s">
        <v>837</v>
      </c>
      <c r="N55" s="40" t="s">
        <v>953</v>
      </c>
      <c r="O55" s="40" t="s">
        <v>954</v>
      </c>
      <c r="P55" s="40" t="s">
        <v>846</v>
      </c>
      <c r="Q55" s="40" t="s">
        <v>863</v>
      </c>
      <c r="R55" s="40" t="s">
        <v>864</v>
      </c>
      <c r="S55" s="40" t="s">
        <v>856</v>
      </c>
      <c r="T55" s="38" t="s">
        <v>955</v>
      </c>
      <c r="U55" s="38"/>
    </row>
    <row r="56" spans="1:21" x14ac:dyDescent="0.25">
      <c r="A56" s="38">
        <v>57</v>
      </c>
      <c r="B56" s="40" t="s">
        <v>956</v>
      </c>
      <c r="C56" s="40" t="s">
        <v>957</v>
      </c>
      <c r="D56" s="40" t="s">
        <v>661</v>
      </c>
      <c r="E56" s="40" t="s">
        <v>685</v>
      </c>
      <c r="F56" s="36" t="s">
        <v>317</v>
      </c>
      <c r="G56" s="36" t="str">
        <f>IFERROR(VLOOKUP(F56,EMP_Info[[Full name]:[Department]],2,FALSE),F56)</f>
        <v>Store</v>
      </c>
      <c r="H56" s="40" t="s">
        <v>903</v>
      </c>
      <c r="I56" s="40" t="s">
        <v>958</v>
      </c>
      <c r="J56" s="40" t="s">
        <v>959</v>
      </c>
      <c r="K56" s="40" t="s">
        <v>846</v>
      </c>
      <c r="L56" s="40" t="s">
        <v>846</v>
      </c>
      <c r="M56" s="40" t="s">
        <v>837</v>
      </c>
      <c r="N56" s="40" t="s">
        <v>679</v>
      </c>
      <c r="O56" s="40" t="s">
        <v>914</v>
      </c>
      <c r="P56" s="40"/>
      <c r="Q56" s="40" t="s">
        <v>671</v>
      </c>
      <c r="R56" s="40" t="s">
        <v>960</v>
      </c>
      <c r="S56" s="40" t="s">
        <v>848</v>
      </c>
      <c r="T56" s="38" t="s">
        <v>961</v>
      </c>
      <c r="U56" s="38"/>
    </row>
    <row r="57" spans="1:21" x14ac:dyDescent="0.25">
      <c r="A57" s="38">
        <v>58</v>
      </c>
      <c r="B57" s="61" t="s">
        <v>962</v>
      </c>
      <c r="C57" s="61" t="s">
        <v>885</v>
      </c>
      <c r="D57" s="61" t="s">
        <v>661</v>
      </c>
      <c r="E57" s="40" t="s">
        <v>685</v>
      </c>
      <c r="F57" s="36" t="s">
        <v>963</v>
      </c>
      <c r="G57" s="36" t="str">
        <f>IFERROR(VLOOKUP(F57,EMP_Info[[Full name]:[Department]],2,FALSE),F57)</f>
        <v>E18 Security Gate</v>
      </c>
      <c r="H57" s="61" t="s">
        <v>676</v>
      </c>
      <c r="I57" s="61" t="s">
        <v>964</v>
      </c>
      <c r="J57" s="61" t="s">
        <v>156</v>
      </c>
      <c r="K57" s="61" t="s">
        <v>965</v>
      </c>
      <c r="L57" s="61" t="s">
        <v>665</v>
      </c>
      <c r="M57" s="61" t="s">
        <v>966</v>
      </c>
      <c r="N57" s="61" t="s">
        <v>679</v>
      </c>
      <c r="O57" s="61" t="s">
        <v>839</v>
      </c>
      <c r="P57" s="61"/>
      <c r="Q57" s="61" t="s">
        <v>719</v>
      </c>
      <c r="R57" s="61" t="s">
        <v>892</v>
      </c>
      <c r="S57" s="61" t="s">
        <v>967</v>
      </c>
      <c r="T57" s="38" t="s">
        <v>968</v>
      </c>
      <c r="U57" s="38"/>
    </row>
    <row r="58" spans="1:21" x14ac:dyDescent="0.25">
      <c r="A58" s="38">
        <v>59</v>
      </c>
      <c r="B58" s="40" t="s">
        <v>969</v>
      </c>
      <c r="C58" s="40" t="s">
        <v>878</v>
      </c>
      <c r="D58" s="40" t="s">
        <v>661</v>
      </c>
      <c r="E58" s="40" t="s">
        <v>685</v>
      </c>
      <c r="F58" s="36" t="s">
        <v>161</v>
      </c>
      <c r="G58" s="36" t="str">
        <f>IFERROR(VLOOKUP(F58,EMP_Info[[Full name]:[Department]],2,FALSE),F58)</f>
        <v>Maintenance</v>
      </c>
      <c r="H58" s="40" t="s">
        <v>36</v>
      </c>
      <c r="I58" s="40" t="s">
        <v>970</v>
      </c>
      <c r="J58" s="40" t="s">
        <v>971</v>
      </c>
      <c r="K58" s="40" t="s">
        <v>846</v>
      </c>
      <c r="L58" s="40" t="s">
        <v>846</v>
      </c>
      <c r="M58" s="40" t="s">
        <v>837</v>
      </c>
      <c r="N58" s="40" t="s">
        <v>838</v>
      </c>
      <c r="O58" s="40" t="s">
        <v>706</v>
      </c>
      <c r="P58" s="40"/>
      <c r="Q58" s="40" t="s">
        <v>719</v>
      </c>
      <c r="R58" s="40" t="s">
        <v>672</v>
      </c>
      <c r="S58" s="40" t="s">
        <v>842</v>
      </c>
      <c r="T58" s="38" t="s">
        <v>972</v>
      </c>
      <c r="U58" s="38"/>
    </row>
    <row r="59" spans="1:21" x14ac:dyDescent="0.25">
      <c r="A59" s="38">
        <v>60</v>
      </c>
      <c r="B59" s="61" t="s">
        <v>973</v>
      </c>
      <c r="C59" s="61" t="s">
        <v>974</v>
      </c>
      <c r="D59" s="61" t="s">
        <v>661</v>
      </c>
      <c r="E59" s="40" t="s">
        <v>685</v>
      </c>
      <c r="F59" s="36" t="s">
        <v>246</v>
      </c>
      <c r="G59" s="36" t="str">
        <f>IFERROR(VLOOKUP(F59,EMP_Info[[Full name]:[Department]],2,FALSE),F59)</f>
        <v>Utility</v>
      </c>
      <c r="H59" s="61" t="s">
        <v>125</v>
      </c>
      <c r="I59" s="61" t="s">
        <v>975</v>
      </c>
      <c r="J59" s="61" t="s">
        <v>125</v>
      </c>
      <c r="K59" s="61" t="s">
        <v>976</v>
      </c>
      <c r="L59" s="61"/>
      <c r="M59" s="61" t="s">
        <v>667</v>
      </c>
      <c r="N59" s="61" t="s">
        <v>679</v>
      </c>
      <c r="O59" s="61" t="s">
        <v>680</v>
      </c>
      <c r="P59" s="61"/>
      <c r="Q59" s="61" t="s">
        <v>693</v>
      </c>
      <c r="R59" s="61" t="s">
        <v>672</v>
      </c>
      <c r="S59" s="61" t="s">
        <v>865</v>
      </c>
      <c r="T59" s="38" t="s">
        <v>977</v>
      </c>
      <c r="U59" s="38"/>
    </row>
    <row r="60" spans="1:21" x14ac:dyDescent="0.25">
      <c r="A60" s="38">
        <v>61</v>
      </c>
      <c r="B60" s="61" t="s">
        <v>978</v>
      </c>
      <c r="C60" s="61" t="s">
        <v>878</v>
      </c>
      <c r="D60" s="61" t="s">
        <v>661</v>
      </c>
      <c r="E60" s="40" t="s">
        <v>685</v>
      </c>
      <c r="F60" s="36" t="s">
        <v>240</v>
      </c>
      <c r="G60" s="36" t="str">
        <f>IFERROR(VLOOKUP(F60,EMP_Info[[Full name]:[Department]],2,FALSE),F60)</f>
        <v>Project</v>
      </c>
      <c r="H60" s="61" t="s">
        <v>36</v>
      </c>
      <c r="I60" s="61" t="s">
        <v>979</v>
      </c>
      <c r="J60" s="61" t="s">
        <v>612</v>
      </c>
      <c r="K60" s="61" t="s">
        <v>980</v>
      </c>
      <c r="L60" s="61" t="s">
        <v>980</v>
      </c>
      <c r="M60" s="61" t="s">
        <v>667</v>
      </c>
      <c r="N60" s="61" t="s">
        <v>838</v>
      </c>
      <c r="O60" s="61" t="s">
        <v>680</v>
      </c>
      <c r="P60" s="61"/>
      <c r="Q60" s="61" t="s">
        <v>671</v>
      </c>
      <c r="R60" s="61" t="s">
        <v>672</v>
      </c>
      <c r="S60" s="61" t="s">
        <v>673</v>
      </c>
      <c r="T60" s="38" t="s">
        <v>981</v>
      </c>
      <c r="U60" s="38"/>
    </row>
    <row r="61" spans="1:21" x14ac:dyDescent="0.25">
      <c r="A61" s="38">
        <v>62</v>
      </c>
      <c r="B61" s="61" t="s">
        <v>982</v>
      </c>
      <c r="C61" s="61" t="s">
        <v>983</v>
      </c>
      <c r="D61" s="61" t="s">
        <v>661</v>
      </c>
      <c r="E61" s="40" t="s">
        <v>685</v>
      </c>
      <c r="F61" s="36" t="s">
        <v>852</v>
      </c>
      <c r="G61" s="36" t="str">
        <f>IFERROR(VLOOKUP(F61,EMP_Info[[Full name]:[Department]],2,FALSE),F61)</f>
        <v>Security</v>
      </c>
      <c r="H61" s="61" t="s">
        <v>852</v>
      </c>
      <c r="I61" s="61" t="s">
        <v>984</v>
      </c>
      <c r="J61" s="61" t="s">
        <v>985</v>
      </c>
      <c r="K61" s="61" t="s">
        <v>986</v>
      </c>
      <c r="L61" s="61" t="s">
        <v>986</v>
      </c>
      <c r="M61" s="61" t="s">
        <v>667</v>
      </c>
      <c r="N61" s="61" t="s">
        <v>838</v>
      </c>
      <c r="O61" s="61" t="s">
        <v>680</v>
      </c>
      <c r="P61" s="61"/>
      <c r="Q61" s="61" t="s">
        <v>671</v>
      </c>
      <c r="R61" s="61" t="s">
        <v>672</v>
      </c>
      <c r="S61" s="61" t="s">
        <v>673</v>
      </c>
      <c r="T61" s="38" t="s">
        <v>987</v>
      </c>
      <c r="U61" s="38"/>
    </row>
    <row r="62" spans="1:21" x14ac:dyDescent="0.25">
      <c r="A62" s="38">
        <v>63</v>
      </c>
      <c r="B62" s="61" t="s">
        <v>988</v>
      </c>
      <c r="C62" s="61" t="s">
        <v>989</v>
      </c>
      <c r="D62" s="61" t="s">
        <v>661</v>
      </c>
      <c r="E62" s="40" t="s">
        <v>685</v>
      </c>
      <c r="F62" s="36" t="s">
        <v>990</v>
      </c>
      <c r="G62" s="36" t="str">
        <f>IFERROR(VLOOKUP(F62,EMP_Info[[Full name]:[Department]],2,FALSE),F62)</f>
        <v>Security Officer</v>
      </c>
      <c r="H62" s="61" t="s">
        <v>852</v>
      </c>
      <c r="I62" s="61" t="s">
        <v>991</v>
      </c>
      <c r="J62" s="61" t="s">
        <v>852</v>
      </c>
      <c r="K62" s="61" t="s">
        <v>846</v>
      </c>
      <c r="L62" s="61" t="s">
        <v>846</v>
      </c>
      <c r="M62" s="61" t="s">
        <v>837</v>
      </c>
      <c r="N62" s="61" t="s">
        <v>679</v>
      </c>
      <c r="O62" s="61" t="s">
        <v>847</v>
      </c>
      <c r="P62" s="61"/>
      <c r="Q62" s="61" t="s">
        <v>671</v>
      </c>
      <c r="R62" s="61" t="s">
        <v>672</v>
      </c>
      <c r="S62" s="61" t="s">
        <v>842</v>
      </c>
      <c r="T62" s="38" t="s">
        <v>992</v>
      </c>
      <c r="U62" s="38"/>
    </row>
    <row r="63" spans="1:21" x14ac:dyDescent="0.25">
      <c r="A63" s="38">
        <v>64</v>
      </c>
      <c r="B63" s="61" t="s">
        <v>993</v>
      </c>
      <c r="C63" s="61" t="s">
        <v>926</v>
      </c>
      <c r="D63" s="61" t="s">
        <v>661</v>
      </c>
      <c r="E63" s="40" t="s">
        <v>685</v>
      </c>
      <c r="F63" s="36" t="s">
        <v>62</v>
      </c>
      <c r="G63" s="36" t="str">
        <f>IFERROR(VLOOKUP(F63,EMP_Info[[Full name]:[Department]],2,FALSE),F63)</f>
        <v>QC &amp; QA</v>
      </c>
      <c r="H63" s="61" t="s">
        <v>927</v>
      </c>
      <c r="I63" s="61" t="s">
        <v>736</v>
      </c>
      <c r="J63" s="61" t="s">
        <v>927</v>
      </c>
      <c r="K63" s="61" t="s">
        <v>994</v>
      </c>
      <c r="L63" s="61" t="s">
        <v>994</v>
      </c>
      <c r="M63" s="61" t="s">
        <v>667</v>
      </c>
      <c r="N63" s="61" t="s">
        <v>679</v>
      </c>
      <c r="O63" s="61" t="s">
        <v>680</v>
      </c>
      <c r="P63" s="61"/>
      <c r="Q63" s="61" t="s">
        <v>693</v>
      </c>
      <c r="R63" s="61" t="s">
        <v>720</v>
      </c>
      <c r="S63" s="61" t="s">
        <v>673</v>
      </c>
      <c r="T63" s="38" t="s">
        <v>995</v>
      </c>
      <c r="U63" s="38"/>
    </row>
    <row r="64" spans="1:21" x14ac:dyDescent="0.25">
      <c r="A64" s="38">
        <v>65</v>
      </c>
      <c r="B64" s="61" t="s">
        <v>996</v>
      </c>
      <c r="C64" s="61" t="s">
        <v>997</v>
      </c>
      <c r="D64" s="61" t="s">
        <v>661</v>
      </c>
      <c r="E64" s="40" t="s">
        <v>685</v>
      </c>
      <c r="F64" s="36" t="s">
        <v>664</v>
      </c>
      <c r="G64" s="36" t="str">
        <f>IFERROR(VLOOKUP(F64,EMP_Info[[Full name]:[Department]],2,FALSE),F64)</f>
        <v>Instrumentation</v>
      </c>
      <c r="H64" s="61" t="s">
        <v>664</v>
      </c>
      <c r="I64" s="61" t="s">
        <v>780</v>
      </c>
      <c r="J64" s="61" t="s">
        <v>664</v>
      </c>
      <c r="K64" s="61" t="s">
        <v>998</v>
      </c>
      <c r="L64" s="61" t="s">
        <v>998</v>
      </c>
      <c r="M64" s="61" t="s">
        <v>667</v>
      </c>
      <c r="N64" s="61" t="s">
        <v>679</v>
      </c>
      <c r="O64" s="61" t="s">
        <v>680</v>
      </c>
      <c r="P64" s="61"/>
      <c r="Q64" s="61" t="s">
        <v>671</v>
      </c>
      <c r="R64" s="61" t="s">
        <v>672</v>
      </c>
      <c r="S64" s="61" t="s">
        <v>777</v>
      </c>
      <c r="T64" s="38" t="s">
        <v>999</v>
      </c>
      <c r="U64" s="38"/>
    </row>
    <row r="65" spans="1:21" x14ac:dyDescent="0.25">
      <c r="A65" s="38">
        <v>66</v>
      </c>
      <c r="B65" s="61" t="s">
        <v>1000</v>
      </c>
      <c r="C65" s="61" t="s">
        <v>926</v>
      </c>
      <c r="D65" s="61" t="s">
        <v>661</v>
      </c>
      <c r="E65" s="40" t="s">
        <v>685</v>
      </c>
      <c r="F65" s="36" t="s">
        <v>68</v>
      </c>
      <c r="G65" s="36" t="str">
        <f>IFERROR(VLOOKUP(F65,EMP_Info[[Full name]:[Department]],2,FALSE),F65)</f>
        <v>QC &amp; QA</v>
      </c>
      <c r="H65" s="61" t="s">
        <v>927</v>
      </c>
      <c r="I65" s="61" t="s">
        <v>1001</v>
      </c>
      <c r="J65" s="61" t="s">
        <v>927</v>
      </c>
      <c r="K65" s="61" t="s">
        <v>846</v>
      </c>
      <c r="L65" s="61" t="s">
        <v>846</v>
      </c>
      <c r="M65" s="61" t="s">
        <v>837</v>
      </c>
      <c r="N65" s="61" t="s">
        <v>679</v>
      </c>
      <c r="O65" s="61" t="s">
        <v>904</v>
      </c>
      <c r="P65" s="61"/>
      <c r="Q65" s="61" t="s">
        <v>719</v>
      </c>
      <c r="R65" s="61" t="s">
        <v>720</v>
      </c>
      <c r="S65" s="61" t="s">
        <v>848</v>
      </c>
      <c r="T65" s="38" t="s">
        <v>1002</v>
      </c>
      <c r="U65" s="38"/>
    </row>
    <row r="66" spans="1:21" x14ac:dyDescent="0.25">
      <c r="A66" s="38">
        <v>67</v>
      </c>
      <c r="B66" s="38" t="s">
        <v>1003</v>
      </c>
      <c r="C66" s="38" t="s">
        <v>926</v>
      </c>
      <c r="D66" s="38" t="s">
        <v>661</v>
      </c>
      <c r="E66" s="40" t="s">
        <v>685</v>
      </c>
      <c r="F66" s="36" t="s">
        <v>753</v>
      </c>
      <c r="G66" s="36" t="str">
        <f>IFERROR(VLOOKUP(F66,EMP_Info[[Full name]:[Department]],2,FALSE),F66)</f>
        <v>QC</v>
      </c>
      <c r="H66" s="61" t="s">
        <v>753</v>
      </c>
      <c r="I66" s="61" t="s">
        <v>753</v>
      </c>
      <c r="J66" s="38" t="s">
        <v>927</v>
      </c>
      <c r="K66" s="38" t="s">
        <v>846</v>
      </c>
      <c r="L66" s="38" t="s">
        <v>846</v>
      </c>
      <c r="M66" s="38" t="s">
        <v>837</v>
      </c>
      <c r="N66" s="38" t="s">
        <v>679</v>
      </c>
      <c r="O66" s="38" t="s">
        <v>904</v>
      </c>
      <c r="P66" s="38" t="s">
        <v>719</v>
      </c>
      <c r="Q66" s="38"/>
      <c r="R66" s="38" t="s">
        <v>720</v>
      </c>
      <c r="S66" s="38" t="s">
        <v>856</v>
      </c>
      <c r="T66" s="38" t="s">
        <v>1004</v>
      </c>
      <c r="U66" s="38"/>
    </row>
    <row r="67" spans="1:21" x14ac:dyDescent="0.25">
      <c r="A67" s="38">
        <v>68</v>
      </c>
      <c r="B67" s="61" t="s">
        <v>1005</v>
      </c>
      <c r="C67" s="61" t="s">
        <v>1006</v>
      </c>
      <c r="D67" s="61" t="s">
        <v>661</v>
      </c>
      <c r="E67" s="40" t="s">
        <v>685</v>
      </c>
      <c r="F67" s="36" t="s">
        <v>260</v>
      </c>
      <c r="G67" s="36" t="str">
        <f>IFERROR(VLOOKUP(F67,EMP_Info[[Full name]:[Department]],2,FALSE),F67)</f>
        <v>Store</v>
      </c>
      <c r="H67" s="61" t="s">
        <v>1007</v>
      </c>
      <c r="I67" s="61" t="s">
        <v>1008</v>
      </c>
      <c r="J67" s="61" t="s">
        <v>131</v>
      </c>
      <c r="K67" s="61" t="s">
        <v>1009</v>
      </c>
      <c r="L67" s="61" t="s">
        <v>1009</v>
      </c>
      <c r="M67" s="61" t="s">
        <v>667</v>
      </c>
      <c r="N67" s="61" t="s">
        <v>679</v>
      </c>
      <c r="O67" s="61" t="s">
        <v>680</v>
      </c>
      <c r="P67" s="61"/>
      <c r="Q67" s="61" t="s">
        <v>671</v>
      </c>
      <c r="R67" s="61" t="s">
        <v>720</v>
      </c>
      <c r="S67" s="61" t="s">
        <v>777</v>
      </c>
      <c r="T67" s="38" t="s">
        <v>1010</v>
      </c>
      <c r="U67" s="38"/>
    </row>
    <row r="68" spans="1:21" x14ac:dyDescent="0.25">
      <c r="A68" s="38">
        <v>69</v>
      </c>
      <c r="B68" s="61" t="s">
        <v>1011</v>
      </c>
      <c r="C68" s="61" t="s">
        <v>878</v>
      </c>
      <c r="D68" s="61" t="s">
        <v>661</v>
      </c>
      <c r="E68" s="40" t="s">
        <v>685</v>
      </c>
      <c r="F68" s="36" t="s">
        <v>191</v>
      </c>
      <c r="G68" s="36" t="str">
        <f>IFERROR(VLOOKUP(F68,EMP_Info[[Full name]:[Department]],2,FALSE),F68)</f>
        <v>Maintenance</v>
      </c>
      <c r="H68" s="61" t="s">
        <v>36</v>
      </c>
      <c r="I68" s="61" t="s">
        <v>1012</v>
      </c>
      <c r="J68" s="61" t="s">
        <v>36</v>
      </c>
      <c r="K68" s="61" t="s">
        <v>1013</v>
      </c>
      <c r="L68" s="61" t="s">
        <v>1013</v>
      </c>
      <c r="M68" s="61" t="s">
        <v>667</v>
      </c>
      <c r="N68" s="61" t="s">
        <v>679</v>
      </c>
      <c r="O68" s="61" t="s">
        <v>680</v>
      </c>
      <c r="P68" s="61" t="s">
        <v>840</v>
      </c>
      <c r="Q68" s="61"/>
      <c r="R68" s="61" t="s">
        <v>720</v>
      </c>
      <c r="S68" s="61" t="s">
        <v>848</v>
      </c>
      <c r="T68" s="38" t="s">
        <v>1014</v>
      </c>
      <c r="U68" s="38"/>
    </row>
    <row r="69" spans="1:21" x14ac:dyDescent="0.25">
      <c r="A69" s="38">
        <v>70</v>
      </c>
      <c r="B69" s="61" t="s">
        <v>1015</v>
      </c>
      <c r="C69" s="61" t="s">
        <v>926</v>
      </c>
      <c r="D69" s="61" t="s">
        <v>661</v>
      </c>
      <c r="E69" s="40" t="s">
        <v>685</v>
      </c>
      <c r="F69" s="36" t="s">
        <v>753</v>
      </c>
      <c r="G69" s="36" t="str">
        <f>IFERROR(VLOOKUP(F69,EMP_Info[[Full name]:[Department]],2,FALSE),F69)</f>
        <v>QC</v>
      </c>
      <c r="H69" s="61" t="s">
        <v>753</v>
      </c>
      <c r="I69" s="61" t="s">
        <v>1016</v>
      </c>
      <c r="J69" s="61" t="s">
        <v>927</v>
      </c>
      <c r="K69" s="61" t="s">
        <v>1017</v>
      </c>
      <c r="L69" s="61" t="s">
        <v>1017</v>
      </c>
      <c r="M69" s="61" t="s">
        <v>667</v>
      </c>
      <c r="N69" s="61" t="s">
        <v>749</v>
      </c>
      <c r="O69" s="61" t="s">
        <v>738</v>
      </c>
      <c r="P69" s="61" t="s">
        <v>693</v>
      </c>
      <c r="Q69" s="61"/>
      <c r="R69" s="61" t="s">
        <v>832</v>
      </c>
      <c r="S69" s="61" t="s">
        <v>673</v>
      </c>
      <c r="T69" s="38" t="s">
        <v>924</v>
      </c>
      <c r="U69" s="38" t="s">
        <v>1018</v>
      </c>
    </row>
    <row r="70" spans="1:21" x14ac:dyDescent="0.25">
      <c r="A70" s="38">
        <v>71</v>
      </c>
      <c r="B70" s="61" t="s">
        <v>1019</v>
      </c>
      <c r="C70" s="61" t="s">
        <v>1006</v>
      </c>
      <c r="D70" s="61" t="s">
        <v>661</v>
      </c>
      <c r="E70" s="40" t="s">
        <v>685</v>
      </c>
      <c r="F70" s="36" t="s">
        <v>180</v>
      </c>
      <c r="G70" s="36" t="str">
        <f>IFERROR(VLOOKUP(F70,EMP_Info[[Full name]:[Department]],2,FALSE),F70)</f>
        <v>Store</v>
      </c>
      <c r="H70" s="61" t="s">
        <v>1007</v>
      </c>
      <c r="I70" s="61" t="s">
        <v>1020</v>
      </c>
      <c r="J70" s="61" t="s">
        <v>1021</v>
      </c>
      <c r="K70" s="61" t="s">
        <v>1022</v>
      </c>
      <c r="L70" s="61" t="s">
        <v>1022</v>
      </c>
      <c r="M70" s="61" t="s">
        <v>667</v>
      </c>
      <c r="N70" s="61" t="s">
        <v>838</v>
      </c>
      <c r="O70" s="61" t="s">
        <v>680</v>
      </c>
      <c r="P70" s="61" t="s">
        <v>670</v>
      </c>
      <c r="Q70" s="61"/>
      <c r="R70" s="61" t="s">
        <v>672</v>
      </c>
      <c r="S70" s="61" t="s">
        <v>673</v>
      </c>
      <c r="T70" s="38" t="s">
        <v>1023</v>
      </c>
      <c r="U70" s="38"/>
    </row>
    <row r="71" spans="1:21" x14ac:dyDescent="0.25">
      <c r="A71" s="38">
        <v>72</v>
      </c>
      <c r="B71" s="61" t="s">
        <v>1024</v>
      </c>
      <c r="C71" s="61" t="s">
        <v>895</v>
      </c>
      <c r="D71" s="61" t="s">
        <v>661</v>
      </c>
      <c r="E71" s="40" t="s">
        <v>685</v>
      </c>
      <c r="F71" s="36" t="s">
        <v>1025</v>
      </c>
      <c r="G71" s="36" t="str">
        <f>IFERROR(VLOOKUP(F71,EMP_Info[[Full name]:[Department]],2,FALSE),F71)</f>
        <v>E17 Production Control Room</v>
      </c>
      <c r="H71" s="61" t="s">
        <v>10</v>
      </c>
      <c r="I71" s="61" t="s">
        <v>1026</v>
      </c>
      <c r="J71" s="61" t="s">
        <v>217</v>
      </c>
      <c r="K71" s="61" t="s">
        <v>1027</v>
      </c>
      <c r="L71" s="61" t="s">
        <v>1027</v>
      </c>
      <c r="M71" s="61" t="s">
        <v>667</v>
      </c>
      <c r="N71" s="61" t="s">
        <v>838</v>
      </c>
      <c r="O71" s="61" t="s">
        <v>680</v>
      </c>
      <c r="P71" s="61" t="s">
        <v>1028</v>
      </c>
      <c r="Q71" s="61"/>
      <c r="R71" s="61" t="s">
        <v>672</v>
      </c>
      <c r="S71" s="61" t="s">
        <v>673</v>
      </c>
      <c r="T71" s="38" t="s">
        <v>1029</v>
      </c>
      <c r="U71" s="38"/>
    </row>
    <row r="72" spans="1:21" x14ac:dyDescent="0.25">
      <c r="A72" s="38">
        <v>73</v>
      </c>
      <c r="B72" s="61" t="s">
        <v>1030</v>
      </c>
      <c r="C72" s="61" t="s">
        <v>926</v>
      </c>
      <c r="D72" s="61" t="s">
        <v>661</v>
      </c>
      <c r="E72" s="40" t="s">
        <v>685</v>
      </c>
      <c r="F72" s="36" t="s">
        <v>20</v>
      </c>
      <c r="G72" s="36" t="str">
        <f>IFERROR(VLOOKUP(F72,EMP_Info[[Full name]:[Department]],2,FALSE),F72)</f>
        <v>QC &amp; QA</v>
      </c>
      <c r="H72" s="61" t="s">
        <v>753</v>
      </c>
      <c r="I72" s="61" t="s">
        <v>1031</v>
      </c>
      <c r="J72" s="61" t="s">
        <v>1032</v>
      </c>
      <c r="K72" s="61" t="s">
        <v>1033</v>
      </c>
      <c r="L72" s="61" t="s">
        <v>1033</v>
      </c>
      <c r="M72" s="61" t="s">
        <v>667</v>
      </c>
      <c r="N72" s="61" t="s">
        <v>838</v>
      </c>
      <c r="O72" s="61" t="s">
        <v>680</v>
      </c>
      <c r="P72" s="61" t="s">
        <v>1028</v>
      </c>
      <c r="Q72" s="61"/>
      <c r="R72" s="61" t="s">
        <v>672</v>
      </c>
      <c r="S72" s="61" t="s">
        <v>673</v>
      </c>
      <c r="T72" s="38" t="s">
        <v>1034</v>
      </c>
      <c r="U72" s="38"/>
    </row>
    <row r="73" spans="1:21" x14ac:dyDescent="0.25">
      <c r="A73" s="38">
        <v>74</v>
      </c>
      <c r="B73" s="61" t="s">
        <v>1035</v>
      </c>
      <c r="C73" s="61" t="s">
        <v>895</v>
      </c>
      <c r="D73" s="61" t="s">
        <v>661</v>
      </c>
      <c r="E73" s="40" t="s">
        <v>685</v>
      </c>
      <c r="F73" s="36"/>
      <c r="G73" s="36">
        <f>IFERROR(VLOOKUP(F73,EMP_Info[[Full name]:[Department]],2,FALSE),F73)</f>
        <v>0</v>
      </c>
      <c r="H73" s="61" t="s">
        <v>10</v>
      </c>
      <c r="I73" s="61" t="s">
        <v>137</v>
      </c>
      <c r="J73" s="61" t="s">
        <v>36</v>
      </c>
      <c r="K73" s="61" t="s">
        <v>1036</v>
      </c>
      <c r="L73" s="61" t="s">
        <v>1036</v>
      </c>
      <c r="M73" s="61" t="s">
        <v>667</v>
      </c>
      <c r="N73" s="61" t="s">
        <v>838</v>
      </c>
      <c r="O73" s="61" t="s">
        <v>680</v>
      </c>
      <c r="P73" s="61" t="s">
        <v>1028</v>
      </c>
      <c r="Q73" s="61"/>
      <c r="R73" s="61" t="s">
        <v>672</v>
      </c>
      <c r="S73" s="61" t="s">
        <v>673</v>
      </c>
      <c r="T73" s="38" t="s">
        <v>1037</v>
      </c>
      <c r="U73" s="38"/>
    </row>
    <row r="74" spans="1:21" x14ac:dyDescent="0.25">
      <c r="A74" s="38">
        <v>75</v>
      </c>
      <c r="B74" s="61" t="s">
        <v>1038</v>
      </c>
      <c r="C74" s="61" t="s">
        <v>25</v>
      </c>
      <c r="D74" s="61" t="s">
        <v>661</v>
      </c>
      <c r="E74" s="40" t="s">
        <v>685</v>
      </c>
      <c r="F74" s="36" t="s">
        <v>24</v>
      </c>
      <c r="G74" s="36" t="str">
        <f>IFERROR(VLOOKUP(F74,EMP_Info[[Full name]:[Department]],2,FALSE),F74)</f>
        <v>Electrical</v>
      </c>
      <c r="H74" s="61" t="s">
        <v>25</v>
      </c>
      <c r="I74" s="61" t="s">
        <v>1039</v>
      </c>
      <c r="J74" s="61" t="s">
        <v>25</v>
      </c>
      <c r="K74" s="61" t="s">
        <v>1040</v>
      </c>
      <c r="L74" s="61" t="s">
        <v>1040</v>
      </c>
      <c r="M74" s="61" t="s">
        <v>667</v>
      </c>
      <c r="N74" s="61" t="s">
        <v>838</v>
      </c>
      <c r="O74" s="61" t="s">
        <v>680</v>
      </c>
      <c r="P74" s="61" t="s">
        <v>1028</v>
      </c>
      <c r="Q74" s="61" t="s">
        <v>1028</v>
      </c>
      <c r="R74" s="61" t="s">
        <v>720</v>
      </c>
      <c r="S74" s="61" t="s">
        <v>777</v>
      </c>
      <c r="T74" s="38" t="s">
        <v>1041</v>
      </c>
      <c r="U74" s="38"/>
    </row>
    <row r="75" spans="1:21" x14ac:dyDescent="0.25">
      <c r="A75" s="38">
        <v>76</v>
      </c>
      <c r="B75" s="61" t="s">
        <v>1042</v>
      </c>
      <c r="C75" s="61" t="s">
        <v>675</v>
      </c>
      <c r="D75" s="61" t="s">
        <v>661</v>
      </c>
      <c r="E75" s="40" t="s">
        <v>685</v>
      </c>
      <c r="F75" s="36" t="s">
        <v>383</v>
      </c>
      <c r="G75" s="36" t="str">
        <f>IFERROR(VLOOKUP(F75,EMP_Info[[Full name]:[Department]],2,FALSE),F75)</f>
        <v>Technical Services</v>
      </c>
      <c r="H75" s="40" t="s">
        <v>156</v>
      </c>
      <c r="I75" s="61" t="s">
        <v>1043</v>
      </c>
      <c r="J75" s="61" t="s">
        <v>1044</v>
      </c>
      <c r="K75" s="61" t="s">
        <v>1045</v>
      </c>
      <c r="L75" s="61" t="s">
        <v>1045</v>
      </c>
      <c r="M75" s="61" t="s">
        <v>667</v>
      </c>
      <c r="N75" s="61" t="s">
        <v>838</v>
      </c>
      <c r="O75" s="61" t="s">
        <v>669</v>
      </c>
      <c r="P75" s="61"/>
      <c r="Q75" s="61" t="s">
        <v>750</v>
      </c>
      <c r="R75" s="61" t="s">
        <v>720</v>
      </c>
      <c r="S75" s="61" t="s">
        <v>777</v>
      </c>
      <c r="T75" s="38" t="s">
        <v>1046</v>
      </c>
      <c r="U75" s="38"/>
    </row>
    <row r="76" spans="1:21" x14ac:dyDescent="0.25">
      <c r="A76" s="38">
        <v>77</v>
      </c>
      <c r="B76" s="61" t="s">
        <v>1047</v>
      </c>
      <c r="C76" s="61" t="s">
        <v>1048</v>
      </c>
      <c r="D76" s="61" t="s">
        <v>661</v>
      </c>
      <c r="E76" s="40" t="s">
        <v>685</v>
      </c>
      <c r="F76" s="36" t="s">
        <v>307</v>
      </c>
      <c r="G76" s="36" t="str">
        <f>IFERROR(VLOOKUP(F76,EMP_Info[[Full name]:[Department]],2,FALSE),F76)</f>
        <v>Accounts</v>
      </c>
      <c r="H76" s="61" t="s">
        <v>860</v>
      </c>
      <c r="I76" s="61" t="s">
        <v>1049</v>
      </c>
      <c r="J76" s="61" t="s">
        <v>1050</v>
      </c>
      <c r="K76" s="61" t="s">
        <v>1051</v>
      </c>
      <c r="L76" s="61"/>
      <c r="M76" s="61" t="s">
        <v>667</v>
      </c>
      <c r="N76" s="61" t="s">
        <v>679</v>
      </c>
      <c r="O76" s="61" t="s">
        <v>669</v>
      </c>
      <c r="P76" s="61" t="s">
        <v>750</v>
      </c>
      <c r="Q76" s="61"/>
      <c r="R76" s="61" t="s">
        <v>672</v>
      </c>
      <c r="S76" s="61" t="s">
        <v>673</v>
      </c>
      <c r="T76" s="38" t="s">
        <v>1052</v>
      </c>
      <c r="U76" s="38"/>
    </row>
    <row r="77" spans="1:21" x14ac:dyDescent="0.25">
      <c r="A77" s="38">
        <v>78</v>
      </c>
      <c r="B77" s="61" t="s">
        <v>1053</v>
      </c>
      <c r="C77" s="61" t="s">
        <v>878</v>
      </c>
      <c r="D77" s="61" t="s">
        <v>661</v>
      </c>
      <c r="E77" s="40" t="s">
        <v>685</v>
      </c>
      <c r="F77" s="36" t="s">
        <v>454</v>
      </c>
      <c r="G77" s="36" t="str">
        <f>IFERROR(VLOOKUP(F77,EMP_Info[[Full name]:[Department]],2,FALSE),F77)</f>
        <v>Maintenance</v>
      </c>
      <c r="H77" s="61" t="s">
        <v>36</v>
      </c>
      <c r="I77" s="61" t="s">
        <v>1054</v>
      </c>
      <c r="J77" s="61" t="s">
        <v>36</v>
      </c>
      <c r="K77" s="61" t="s">
        <v>1055</v>
      </c>
      <c r="L77" s="61" t="s">
        <v>1055</v>
      </c>
      <c r="M77" s="61" t="s">
        <v>667</v>
      </c>
      <c r="N77" s="61" t="s">
        <v>838</v>
      </c>
      <c r="O77" s="61" t="s">
        <v>669</v>
      </c>
      <c r="P77" s="61" t="s">
        <v>1028</v>
      </c>
      <c r="Q77" s="61" t="s">
        <v>671</v>
      </c>
      <c r="R77" s="61" t="s">
        <v>720</v>
      </c>
      <c r="S77" s="61" t="s">
        <v>777</v>
      </c>
      <c r="T77" s="38" t="s">
        <v>1056</v>
      </c>
      <c r="U77" s="38"/>
    </row>
    <row r="78" spans="1:21" x14ac:dyDescent="0.25">
      <c r="A78" s="38">
        <v>79</v>
      </c>
      <c r="B78" s="61" t="s">
        <v>1057</v>
      </c>
      <c r="C78" s="61" t="s">
        <v>997</v>
      </c>
      <c r="D78" s="61" t="s">
        <v>661</v>
      </c>
      <c r="E78" s="40" t="s">
        <v>685</v>
      </c>
      <c r="F78" s="36" t="s">
        <v>1058</v>
      </c>
      <c r="G78" s="36" t="str">
        <f>IFERROR(VLOOKUP(F78,EMP_Info[[Full name]:[Department]],2,FALSE),F78)</f>
        <v>DCS</v>
      </c>
      <c r="H78" s="61" t="s">
        <v>1059</v>
      </c>
      <c r="I78" s="61" t="s">
        <v>1060</v>
      </c>
      <c r="J78" s="61" t="s">
        <v>745</v>
      </c>
      <c r="K78" s="61" t="s">
        <v>1061</v>
      </c>
      <c r="L78" s="61" t="s">
        <v>1061</v>
      </c>
      <c r="M78" s="61" t="s">
        <v>667</v>
      </c>
      <c r="N78" s="61" t="s">
        <v>838</v>
      </c>
      <c r="O78" s="61" t="s">
        <v>669</v>
      </c>
      <c r="P78" s="61" t="s">
        <v>1028</v>
      </c>
      <c r="Q78" s="61" t="s">
        <v>693</v>
      </c>
      <c r="R78" s="61" t="s">
        <v>720</v>
      </c>
      <c r="S78" s="61" t="s">
        <v>777</v>
      </c>
      <c r="T78" s="38" t="s">
        <v>1062</v>
      </c>
      <c r="U78" s="38"/>
    </row>
    <row r="79" spans="1:21" x14ac:dyDescent="0.25">
      <c r="A79" s="38">
        <v>80</v>
      </c>
      <c r="B79" s="61" t="s">
        <v>1063</v>
      </c>
      <c r="C79" s="61" t="s">
        <v>926</v>
      </c>
      <c r="D79" s="61" t="s">
        <v>661</v>
      </c>
      <c r="E79" s="40" t="s">
        <v>685</v>
      </c>
      <c r="F79" s="36" t="s">
        <v>753</v>
      </c>
      <c r="G79" s="36" t="str">
        <f>IFERROR(VLOOKUP(F79,EMP_Info[[Full name]:[Department]],2,FALSE),F79)</f>
        <v>QC</v>
      </c>
      <c r="H79" s="61" t="s">
        <v>753</v>
      </c>
      <c r="I79" s="61" t="s">
        <v>1064</v>
      </c>
      <c r="J79" s="61" t="s">
        <v>927</v>
      </c>
      <c r="K79" s="61" t="s">
        <v>1065</v>
      </c>
      <c r="L79" s="61" t="s">
        <v>1065</v>
      </c>
      <c r="M79" s="61" t="s">
        <v>667</v>
      </c>
      <c r="N79" s="61" t="s">
        <v>1066</v>
      </c>
      <c r="O79" s="61" t="s">
        <v>669</v>
      </c>
      <c r="P79" s="61" t="s">
        <v>693</v>
      </c>
      <c r="Q79" s="61"/>
      <c r="R79" s="61" t="s">
        <v>832</v>
      </c>
      <c r="S79" s="61" t="s">
        <v>673</v>
      </c>
      <c r="T79" s="38" t="s">
        <v>1067</v>
      </c>
      <c r="U79" s="38" t="s">
        <v>1068</v>
      </c>
    </row>
    <row r="80" spans="1:21" x14ac:dyDescent="0.25">
      <c r="A80" s="38">
        <v>81</v>
      </c>
      <c r="B80" s="61" t="s">
        <v>1069</v>
      </c>
      <c r="C80" s="61" t="s">
        <v>926</v>
      </c>
      <c r="D80" s="61" t="s">
        <v>661</v>
      </c>
      <c r="E80" s="40" t="s">
        <v>685</v>
      </c>
      <c r="F80" s="36" t="s">
        <v>753</v>
      </c>
      <c r="G80" s="36" t="str">
        <f>IFERROR(VLOOKUP(F80,EMP_Info[[Full name]:[Department]],2,FALSE),F80)</f>
        <v>QC</v>
      </c>
      <c r="H80" s="61" t="s">
        <v>753</v>
      </c>
      <c r="I80" s="61" t="s">
        <v>1070</v>
      </c>
      <c r="J80" s="61" t="s">
        <v>927</v>
      </c>
      <c r="K80" s="61" t="s">
        <v>1071</v>
      </c>
      <c r="L80" s="61" t="s">
        <v>1071</v>
      </c>
      <c r="M80" s="61" t="s">
        <v>667</v>
      </c>
      <c r="N80" s="61" t="s">
        <v>1066</v>
      </c>
      <c r="O80" s="61" t="s">
        <v>669</v>
      </c>
      <c r="P80" s="61" t="s">
        <v>693</v>
      </c>
      <c r="Q80" s="61"/>
      <c r="R80" s="61" t="s">
        <v>832</v>
      </c>
      <c r="S80" s="61" t="s">
        <v>1072</v>
      </c>
      <c r="T80" s="38" t="s">
        <v>1073</v>
      </c>
      <c r="U80" s="38" t="s">
        <v>1074</v>
      </c>
    </row>
    <row r="81" spans="1:21" x14ac:dyDescent="0.25">
      <c r="A81" s="38">
        <v>82</v>
      </c>
      <c r="B81" s="38" t="s">
        <v>1075</v>
      </c>
      <c r="C81" s="38" t="s">
        <v>851</v>
      </c>
      <c r="D81" s="38" t="s">
        <v>661</v>
      </c>
      <c r="E81" s="40" t="s">
        <v>685</v>
      </c>
      <c r="F81" s="36" t="s">
        <v>472</v>
      </c>
      <c r="G81" s="36" t="str">
        <f>IFERROR(VLOOKUP(F81,EMP_Info[[Full name]:[Department]],2,FALSE),F81)</f>
        <v>Technical Services</v>
      </c>
      <c r="H81" s="40" t="s">
        <v>156</v>
      </c>
      <c r="I81" s="38" t="s">
        <v>696</v>
      </c>
      <c r="J81" s="38" t="s">
        <v>852</v>
      </c>
      <c r="K81" s="38" t="s">
        <v>1076</v>
      </c>
      <c r="L81" s="38" t="s">
        <v>1076</v>
      </c>
      <c r="M81" s="38" t="s">
        <v>667</v>
      </c>
      <c r="N81" s="38" t="s">
        <v>679</v>
      </c>
      <c r="O81" s="38" t="s">
        <v>669</v>
      </c>
      <c r="P81" s="38" t="s">
        <v>840</v>
      </c>
      <c r="Q81" s="38"/>
      <c r="R81" s="38" t="s">
        <v>720</v>
      </c>
      <c r="S81" s="38" t="s">
        <v>673</v>
      </c>
      <c r="T81" s="38" t="s">
        <v>1077</v>
      </c>
      <c r="U81" s="38"/>
    </row>
    <row r="82" spans="1:21" x14ac:dyDescent="0.25">
      <c r="A82" s="38">
        <v>83</v>
      </c>
      <c r="B82" s="61" t="s">
        <v>1078</v>
      </c>
      <c r="C82" s="61" t="s">
        <v>1079</v>
      </c>
      <c r="D82" s="61" t="s">
        <v>661</v>
      </c>
      <c r="E82" s="40" t="s">
        <v>685</v>
      </c>
      <c r="F82" s="36" t="s">
        <v>327</v>
      </c>
      <c r="G82" s="36" t="str">
        <f>IFERROR(VLOOKUP(F82,EMP_Info[[Full name]:[Department]],2,FALSE),F82)</f>
        <v>HR</v>
      </c>
      <c r="H82" s="61" t="s">
        <v>17</v>
      </c>
      <c r="I82" s="61" t="s">
        <v>1080</v>
      </c>
      <c r="J82" s="61" t="s">
        <v>881</v>
      </c>
      <c r="K82" s="61" t="s">
        <v>1081</v>
      </c>
      <c r="L82" s="61" t="s">
        <v>1081</v>
      </c>
      <c r="M82" s="61" t="s">
        <v>667</v>
      </c>
      <c r="N82" s="61" t="s">
        <v>679</v>
      </c>
      <c r="O82" s="61" t="s">
        <v>669</v>
      </c>
      <c r="P82" s="61" t="s">
        <v>750</v>
      </c>
      <c r="Q82" s="61"/>
      <c r="R82" s="61" t="s">
        <v>672</v>
      </c>
      <c r="S82" s="61" t="s">
        <v>673</v>
      </c>
      <c r="T82" s="38" t="s">
        <v>1082</v>
      </c>
      <c r="U82" s="38" t="s">
        <v>1083</v>
      </c>
    </row>
    <row r="83" spans="1:21" x14ac:dyDescent="0.25">
      <c r="A83" s="38">
        <v>84</v>
      </c>
      <c r="B83" s="38" t="s">
        <v>1084</v>
      </c>
      <c r="C83" s="38" t="s">
        <v>957</v>
      </c>
      <c r="D83" s="38" t="s">
        <v>661</v>
      </c>
      <c r="E83" s="40" t="s">
        <v>685</v>
      </c>
      <c r="F83" s="36" t="s">
        <v>262</v>
      </c>
      <c r="G83" s="36" t="str">
        <f>IFERROR(VLOOKUP(F83,EMP_Info[[Full name]:[Department]],2,FALSE),F83)</f>
        <v>Store</v>
      </c>
      <c r="H83" s="40" t="s">
        <v>903</v>
      </c>
      <c r="I83" s="38" t="s">
        <v>1085</v>
      </c>
      <c r="J83" s="38" t="s">
        <v>131</v>
      </c>
      <c r="K83" s="38" t="s">
        <v>1086</v>
      </c>
      <c r="L83" s="38" t="s">
        <v>1086</v>
      </c>
      <c r="M83" s="38" t="s">
        <v>667</v>
      </c>
      <c r="N83" s="38" t="s">
        <v>838</v>
      </c>
      <c r="O83" s="38" t="s">
        <v>669</v>
      </c>
      <c r="P83" s="38" t="s">
        <v>840</v>
      </c>
      <c r="Q83" s="38"/>
      <c r="R83" s="38" t="s">
        <v>672</v>
      </c>
      <c r="S83" s="38" t="s">
        <v>777</v>
      </c>
      <c r="T83" s="38" t="s">
        <v>1087</v>
      </c>
      <c r="U83" s="38"/>
    </row>
    <row r="84" spans="1:21" x14ac:dyDescent="0.25">
      <c r="A84" s="38">
        <v>85</v>
      </c>
      <c r="B84" s="61" t="s">
        <v>1088</v>
      </c>
      <c r="C84" s="61" t="s">
        <v>926</v>
      </c>
      <c r="D84" s="61" t="s">
        <v>661</v>
      </c>
      <c r="E84" s="40" t="s">
        <v>685</v>
      </c>
      <c r="F84" s="36" t="s">
        <v>1089</v>
      </c>
      <c r="G84" s="36" t="str">
        <f>IFERROR(VLOOKUP(F84,EMP_Info[[Full name]:[Department]],2,FALSE),F84)</f>
        <v>GC Machine</v>
      </c>
      <c r="H84" s="61" t="s">
        <v>927</v>
      </c>
      <c r="I84" s="61" t="s">
        <v>1090</v>
      </c>
      <c r="J84" s="61" t="s">
        <v>927</v>
      </c>
      <c r="K84" s="61" t="s">
        <v>1091</v>
      </c>
      <c r="L84" s="61" t="s">
        <v>1091</v>
      </c>
      <c r="M84" s="61" t="s">
        <v>667</v>
      </c>
      <c r="N84" s="61" t="s">
        <v>1066</v>
      </c>
      <c r="O84" s="61" t="s">
        <v>669</v>
      </c>
      <c r="P84" s="61" t="s">
        <v>693</v>
      </c>
      <c r="Q84" s="61"/>
      <c r="R84" s="61" t="s">
        <v>832</v>
      </c>
      <c r="S84" s="61" t="s">
        <v>842</v>
      </c>
      <c r="T84" s="38" t="s">
        <v>1092</v>
      </c>
      <c r="U84" s="38"/>
    </row>
    <row r="85" spans="1:21" x14ac:dyDescent="0.25">
      <c r="A85" s="38">
        <v>86</v>
      </c>
      <c r="B85" s="61" t="s">
        <v>1093</v>
      </c>
      <c r="C85" s="61" t="s">
        <v>1048</v>
      </c>
      <c r="D85" s="61" t="s">
        <v>661</v>
      </c>
      <c r="E85" s="40" t="s">
        <v>685</v>
      </c>
      <c r="F85" s="36" t="s">
        <v>1094</v>
      </c>
      <c r="G85" s="36" t="str">
        <f>IFERROR(VLOOKUP(F85,EMP_Info[[Full name]:[Department]],2,FALSE),F85)</f>
        <v>Audit Officer</v>
      </c>
      <c r="H85" s="61" t="s">
        <v>860</v>
      </c>
      <c r="I85" s="61" t="s">
        <v>1095</v>
      </c>
      <c r="J85" s="61" t="s">
        <v>1096</v>
      </c>
      <c r="K85" s="61" t="s">
        <v>1097</v>
      </c>
      <c r="L85" s="61" t="s">
        <v>1097</v>
      </c>
      <c r="M85" s="61" t="s">
        <v>667</v>
      </c>
      <c r="N85" s="61" t="s">
        <v>1066</v>
      </c>
      <c r="O85" s="61" t="s">
        <v>669</v>
      </c>
      <c r="P85" s="61" t="s">
        <v>750</v>
      </c>
      <c r="Q85" s="61"/>
      <c r="R85" s="61" t="s">
        <v>720</v>
      </c>
      <c r="S85" s="61" t="s">
        <v>777</v>
      </c>
      <c r="T85" s="38" t="s">
        <v>1098</v>
      </c>
      <c r="U85" s="38"/>
    </row>
    <row r="86" spans="1:21" x14ac:dyDescent="0.25">
      <c r="A86" s="38">
        <v>87</v>
      </c>
      <c r="B86" s="61" t="s">
        <v>1099</v>
      </c>
      <c r="C86" s="61" t="s">
        <v>878</v>
      </c>
      <c r="D86" s="61" t="s">
        <v>661</v>
      </c>
      <c r="E86" s="40" t="s">
        <v>685</v>
      </c>
      <c r="F86" s="36" t="s">
        <v>363</v>
      </c>
      <c r="G86" s="36" t="str">
        <f>IFERROR(VLOOKUP(F86,EMP_Info[[Full name]:[Department]],2,FALSE),F86)</f>
        <v>Environment</v>
      </c>
      <c r="H86" s="61" t="s">
        <v>1100</v>
      </c>
      <c r="I86" s="61" t="s">
        <v>1101</v>
      </c>
      <c r="J86" s="61" t="s">
        <v>1102</v>
      </c>
      <c r="K86" s="61" t="s">
        <v>1103</v>
      </c>
      <c r="L86" s="61" t="s">
        <v>1103</v>
      </c>
      <c r="M86" s="61" t="s">
        <v>667</v>
      </c>
      <c r="N86" s="61" t="s">
        <v>679</v>
      </c>
      <c r="O86" s="61" t="s">
        <v>669</v>
      </c>
      <c r="P86" s="61" t="s">
        <v>840</v>
      </c>
      <c r="Q86" s="61"/>
      <c r="R86" s="61" t="s">
        <v>720</v>
      </c>
      <c r="S86" s="61" t="s">
        <v>777</v>
      </c>
      <c r="T86" s="38" t="s">
        <v>1104</v>
      </c>
      <c r="U86" s="38"/>
    </row>
    <row r="87" spans="1:21" x14ac:dyDescent="0.25">
      <c r="A87" s="38">
        <v>88</v>
      </c>
      <c r="B87" s="61" t="s">
        <v>1105</v>
      </c>
      <c r="C87" s="61" t="s">
        <v>878</v>
      </c>
      <c r="D87" s="61" t="s">
        <v>661</v>
      </c>
      <c r="E87" s="40" t="s">
        <v>685</v>
      </c>
      <c r="F87" s="36" t="s">
        <v>1514</v>
      </c>
      <c r="G87" s="36" t="str">
        <f>IFERROR(VLOOKUP(F87,EMP_Info[[Full name]:[Department]],2,FALSE),F87)</f>
        <v>Not Working</v>
      </c>
      <c r="H87" s="40" t="s">
        <v>36</v>
      </c>
      <c r="I87" s="61" t="s">
        <v>442</v>
      </c>
      <c r="J87" s="61" t="s">
        <v>36</v>
      </c>
      <c r="K87" s="61" t="s">
        <v>1106</v>
      </c>
      <c r="L87" s="61" t="s">
        <v>1106</v>
      </c>
      <c r="M87" s="61" t="s">
        <v>667</v>
      </c>
      <c r="N87" s="61" t="s">
        <v>679</v>
      </c>
      <c r="O87" s="61" t="s">
        <v>669</v>
      </c>
      <c r="P87" s="61" t="s">
        <v>840</v>
      </c>
      <c r="Q87" s="61"/>
      <c r="R87" s="61" t="s">
        <v>672</v>
      </c>
      <c r="S87" s="61" t="s">
        <v>777</v>
      </c>
      <c r="T87" s="38" t="s">
        <v>1107</v>
      </c>
      <c r="U87" s="38"/>
    </row>
    <row r="88" spans="1:21" x14ac:dyDescent="0.25">
      <c r="A88" s="38">
        <v>89</v>
      </c>
      <c r="B88" s="38" t="s">
        <v>1108</v>
      </c>
      <c r="C88" s="38" t="s">
        <v>926</v>
      </c>
      <c r="D88" s="38" t="s">
        <v>661</v>
      </c>
      <c r="E88" s="40" t="s">
        <v>685</v>
      </c>
      <c r="F88" s="36" t="s">
        <v>753</v>
      </c>
      <c r="G88" s="36" t="str">
        <f>IFERROR(VLOOKUP(F88,EMP_Info[[Full name]:[Department]],2,FALSE),F88)</f>
        <v>QC</v>
      </c>
      <c r="H88" s="61" t="s">
        <v>753</v>
      </c>
      <c r="I88" s="38" t="s">
        <v>665</v>
      </c>
      <c r="J88" s="61" t="s">
        <v>927</v>
      </c>
      <c r="K88" s="38" t="s">
        <v>1109</v>
      </c>
      <c r="L88" s="38" t="s">
        <v>1109</v>
      </c>
      <c r="M88" s="38" t="s">
        <v>667</v>
      </c>
      <c r="N88" s="38" t="s">
        <v>668</v>
      </c>
      <c r="O88" s="38" t="s">
        <v>669</v>
      </c>
      <c r="P88" s="38" t="s">
        <v>750</v>
      </c>
      <c r="Q88" s="38"/>
      <c r="R88" s="38" t="s">
        <v>832</v>
      </c>
      <c r="S88" s="38" t="s">
        <v>673</v>
      </c>
      <c r="T88" s="38" t="s">
        <v>1110</v>
      </c>
      <c r="U88" s="38"/>
    </row>
    <row r="89" spans="1:21" x14ac:dyDescent="0.25">
      <c r="A89" s="38">
        <v>90</v>
      </c>
      <c r="B89" s="38" t="s">
        <v>1111</v>
      </c>
      <c r="C89" s="38" t="s">
        <v>926</v>
      </c>
      <c r="D89" s="38" t="s">
        <v>661</v>
      </c>
      <c r="E89" s="40" t="s">
        <v>685</v>
      </c>
      <c r="F89" s="36" t="s">
        <v>665</v>
      </c>
      <c r="G89" s="36" t="str">
        <f>IFERROR(VLOOKUP(F89,EMP_Info[[Full name]:[Department]],2,FALSE),F89)</f>
        <v>-</v>
      </c>
      <c r="H89" s="38" t="s">
        <v>927</v>
      </c>
      <c r="I89" s="38" t="s">
        <v>413</v>
      </c>
      <c r="J89" s="61" t="s">
        <v>249</v>
      </c>
      <c r="K89" s="38" t="s">
        <v>1112</v>
      </c>
      <c r="L89" s="38" t="s">
        <v>1112</v>
      </c>
      <c r="M89" s="38" t="s">
        <v>667</v>
      </c>
      <c r="N89" s="38" t="s">
        <v>668</v>
      </c>
      <c r="O89" s="38" t="s">
        <v>669</v>
      </c>
      <c r="P89" s="38" t="s">
        <v>750</v>
      </c>
      <c r="Q89" s="38"/>
      <c r="R89" s="38" t="s">
        <v>672</v>
      </c>
      <c r="S89" s="38" t="s">
        <v>673</v>
      </c>
      <c r="T89" s="38" t="s">
        <v>1113</v>
      </c>
      <c r="U89" s="38"/>
    </row>
    <row r="90" spans="1:21" x14ac:dyDescent="0.25">
      <c r="A90" s="38">
        <v>91</v>
      </c>
      <c r="B90" s="38" t="s">
        <v>1114</v>
      </c>
      <c r="C90" s="38" t="s">
        <v>926</v>
      </c>
      <c r="D90" s="38" t="s">
        <v>661</v>
      </c>
      <c r="E90" s="40" t="s">
        <v>685</v>
      </c>
      <c r="F90" s="36" t="s">
        <v>753</v>
      </c>
      <c r="G90" s="36" t="str">
        <f>IFERROR(VLOOKUP(F90,EMP_Info[[Full name]:[Department]],2,FALSE),F90)</f>
        <v>QC</v>
      </c>
      <c r="H90" s="61" t="s">
        <v>753</v>
      </c>
      <c r="I90" s="38" t="s">
        <v>665</v>
      </c>
      <c r="J90" s="61" t="s">
        <v>927</v>
      </c>
      <c r="K90" s="38" t="s">
        <v>1115</v>
      </c>
      <c r="L90" s="38" t="s">
        <v>1115</v>
      </c>
      <c r="M90" s="38" t="s">
        <v>667</v>
      </c>
      <c r="N90" s="38" t="s">
        <v>668</v>
      </c>
      <c r="O90" s="38" t="s">
        <v>669</v>
      </c>
      <c r="P90" s="38" t="s">
        <v>750</v>
      </c>
      <c r="Q90" s="38"/>
      <c r="R90" s="38" t="s">
        <v>832</v>
      </c>
      <c r="S90" s="38" t="s">
        <v>673</v>
      </c>
      <c r="T90" s="38" t="s">
        <v>1116</v>
      </c>
      <c r="U90" s="38"/>
    </row>
    <row r="91" spans="1:21" x14ac:dyDescent="0.25">
      <c r="A91" s="38">
        <v>92</v>
      </c>
      <c r="B91" s="38" t="s">
        <v>1117</v>
      </c>
      <c r="C91" s="38" t="s">
        <v>926</v>
      </c>
      <c r="D91" s="38" t="s">
        <v>661</v>
      </c>
      <c r="E91" s="40" t="s">
        <v>685</v>
      </c>
      <c r="F91" s="36" t="s">
        <v>753</v>
      </c>
      <c r="G91" s="36" t="str">
        <f>IFERROR(VLOOKUP(F91,EMP_Info[[Full name]:[Department]],2,FALSE),F91)</f>
        <v>QC</v>
      </c>
      <c r="H91" s="61" t="s">
        <v>753</v>
      </c>
      <c r="I91" s="38" t="s">
        <v>665</v>
      </c>
      <c r="J91" s="61" t="s">
        <v>927</v>
      </c>
      <c r="K91" s="38" t="s">
        <v>1118</v>
      </c>
      <c r="L91" s="38" t="s">
        <v>1118</v>
      </c>
      <c r="M91" s="38" t="s">
        <v>1119</v>
      </c>
      <c r="N91" s="38" t="s">
        <v>749</v>
      </c>
      <c r="O91" s="38" t="s">
        <v>669</v>
      </c>
      <c r="P91" s="38" t="s">
        <v>840</v>
      </c>
      <c r="Q91" s="38" t="s">
        <v>693</v>
      </c>
      <c r="R91" s="38" t="s">
        <v>832</v>
      </c>
      <c r="S91" s="38" t="s">
        <v>777</v>
      </c>
      <c r="T91" s="38" t="s">
        <v>1120</v>
      </c>
      <c r="U91" s="38"/>
    </row>
    <row r="92" spans="1:21" x14ac:dyDescent="0.25">
      <c r="A92" s="38">
        <v>93</v>
      </c>
      <c r="B92" s="38" t="s">
        <v>1121</v>
      </c>
      <c r="C92" s="38" t="s">
        <v>1122</v>
      </c>
      <c r="D92" s="38" t="s">
        <v>661</v>
      </c>
      <c r="E92" s="40" t="s">
        <v>685</v>
      </c>
      <c r="F92" s="36" t="s">
        <v>686</v>
      </c>
      <c r="G92" s="36" t="str">
        <f>IFERROR(VLOOKUP(F92,EMP_Info[[Full name]:[Department]],2,FALSE),F92)</f>
        <v>Spare (Damage)</v>
      </c>
      <c r="H92" s="61" t="s">
        <v>665</v>
      </c>
      <c r="I92" s="38" t="s">
        <v>1123</v>
      </c>
      <c r="J92" s="61" t="s">
        <v>1124</v>
      </c>
      <c r="K92" s="38" t="s">
        <v>1125</v>
      </c>
      <c r="L92" s="38" t="s">
        <v>1125</v>
      </c>
      <c r="M92" s="38" t="s">
        <v>937</v>
      </c>
      <c r="N92" s="38" t="s">
        <v>679</v>
      </c>
      <c r="O92" s="38" t="s">
        <v>839</v>
      </c>
      <c r="P92" s="38"/>
      <c r="Q92" s="38" t="s">
        <v>719</v>
      </c>
      <c r="R92" s="38" t="s">
        <v>681</v>
      </c>
      <c r="S92" s="38" t="s">
        <v>848</v>
      </c>
      <c r="T92" s="38" t="s">
        <v>1126</v>
      </c>
      <c r="U92" s="38"/>
    </row>
    <row r="93" spans="1:21" x14ac:dyDescent="0.25">
      <c r="A93" s="38">
        <v>94</v>
      </c>
      <c r="B93" s="38" t="s">
        <v>1127</v>
      </c>
      <c r="C93" s="38" t="s">
        <v>926</v>
      </c>
      <c r="D93" s="38" t="s">
        <v>661</v>
      </c>
      <c r="E93" s="40" t="s">
        <v>662</v>
      </c>
      <c r="F93" s="36" t="s">
        <v>1089</v>
      </c>
      <c r="G93" s="36" t="str">
        <f>IFERROR(VLOOKUP(F93,EMP_Info[[Full name]:[Department]],2,FALSE),F93)</f>
        <v>GC Machine</v>
      </c>
      <c r="H93" s="61" t="s">
        <v>753</v>
      </c>
      <c r="I93" s="38" t="s">
        <v>665</v>
      </c>
      <c r="J93" s="61" t="s">
        <v>665</v>
      </c>
      <c r="K93" s="38"/>
      <c r="L93" s="38"/>
      <c r="M93" s="38" t="s">
        <v>1128</v>
      </c>
      <c r="N93" s="38" t="s">
        <v>749</v>
      </c>
      <c r="O93" s="38" t="s">
        <v>1129</v>
      </c>
      <c r="P93" s="38" t="s">
        <v>1130</v>
      </c>
      <c r="Q93" s="38"/>
      <c r="R93" s="38" t="s">
        <v>832</v>
      </c>
      <c r="S93" s="38" t="s">
        <v>673</v>
      </c>
      <c r="T93" s="38" t="s">
        <v>1131</v>
      </c>
      <c r="U93" s="38" t="s">
        <v>1132</v>
      </c>
    </row>
    <row r="94" spans="1:21" x14ac:dyDescent="0.25">
      <c r="A94" s="38">
        <v>95</v>
      </c>
      <c r="B94" s="38" t="s">
        <v>1133</v>
      </c>
      <c r="C94" s="38" t="s">
        <v>683</v>
      </c>
      <c r="D94" s="38" t="s">
        <v>684</v>
      </c>
      <c r="E94" s="38" t="s">
        <v>662</v>
      </c>
      <c r="F94" s="36" t="s">
        <v>482</v>
      </c>
      <c r="G94" s="36" t="str">
        <f>IFERROR(VLOOKUP(F94,EMP_Info[[Full name]:[Department]],2,FALSE),F94)</f>
        <v>Technical Services</v>
      </c>
      <c r="H94" s="38" t="s">
        <v>156</v>
      </c>
      <c r="I94" s="38" t="s">
        <v>665</v>
      </c>
      <c r="J94" s="38" t="s">
        <v>665</v>
      </c>
      <c r="K94" s="38" t="s">
        <v>1134</v>
      </c>
      <c r="L94" s="38" t="s">
        <v>1134</v>
      </c>
      <c r="M94" s="38" t="s">
        <v>1135</v>
      </c>
      <c r="N94" s="38" t="s">
        <v>668</v>
      </c>
      <c r="O94" s="38" t="s">
        <v>669</v>
      </c>
      <c r="P94" s="38" t="s">
        <v>776</v>
      </c>
      <c r="Q94" s="38" t="s">
        <v>665</v>
      </c>
      <c r="R94" s="38" t="s">
        <v>832</v>
      </c>
      <c r="S94" s="38" t="s">
        <v>777</v>
      </c>
      <c r="T94" s="38" t="s">
        <v>1136</v>
      </c>
      <c r="U94" s="38" t="s">
        <v>1137</v>
      </c>
    </row>
    <row r="95" spans="1:21" ht="31.5" x14ac:dyDescent="0.25">
      <c r="A95" s="38">
        <v>96</v>
      </c>
      <c r="B95" s="38" t="s">
        <v>1138</v>
      </c>
      <c r="C95" s="38" t="s">
        <v>683</v>
      </c>
      <c r="D95" s="38" t="s">
        <v>684</v>
      </c>
      <c r="E95" s="38" t="s">
        <v>662</v>
      </c>
      <c r="F95" s="36" t="s">
        <v>597</v>
      </c>
      <c r="G95" s="36" t="str">
        <f>IFERROR(VLOOKUP(F95,EMP_Info[[Full name]:[Department]],2,FALSE),F95)</f>
        <v>HR</v>
      </c>
      <c r="H95" s="38" t="s">
        <v>665</v>
      </c>
      <c r="I95" s="38" t="s">
        <v>1139</v>
      </c>
      <c r="J95" s="38"/>
      <c r="K95" s="38" t="s">
        <v>1140</v>
      </c>
      <c r="L95" s="38" t="s">
        <v>1140</v>
      </c>
      <c r="M95" s="38" t="s">
        <v>1141</v>
      </c>
      <c r="N95" s="38" t="s">
        <v>668</v>
      </c>
      <c r="O95" s="38" t="s">
        <v>680</v>
      </c>
      <c r="P95" s="38" t="s">
        <v>776</v>
      </c>
      <c r="Q95" s="38" t="s">
        <v>665</v>
      </c>
      <c r="R95" s="38" t="s">
        <v>672</v>
      </c>
      <c r="S95" s="38" t="s">
        <v>673</v>
      </c>
      <c r="T95" s="38"/>
      <c r="U95" s="38"/>
    </row>
    <row r="96" spans="1:21" x14ac:dyDescent="0.25">
      <c r="A96" s="38">
        <v>97</v>
      </c>
      <c r="B96" s="38" t="s">
        <v>1142</v>
      </c>
      <c r="C96" s="38" t="s">
        <v>683</v>
      </c>
      <c r="D96" s="38" t="s">
        <v>684</v>
      </c>
      <c r="E96" s="38" t="s">
        <v>662</v>
      </c>
      <c r="F96" s="36" t="s">
        <v>87</v>
      </c>
      <c r="G96" s="36" t="str">
        <f>IFERROR(VLOOKUP(F96,EMP_Info[[Full name]:[Department]],2,FALSE),F96)</f>
        <v>Production</v>
      </c>
      <c r="H96" s="38" t="s">
        <v>10</v>
      </c>
      <c r="I96" s="38" t="s">
        <v>665</v>
      </c>
      <c r="J96" s="38" t="s">
        <v>665</v>
      </c>
      <c r="K96" s="38" t="s">
        <v>1143</v>
      </c>
      <c r="L96" s="38" t="s">
        <v>1143</v>
      </c>
      <c r="M96" s="38" t="s">
        <v>1144</v>
      </c>
      <c r="N96" s="38" t="s">
        <v>679</v>
      </c>
      <c r="O96" s="38" t="s">
        <v>830</v>
      </c>
      <c r="P96" s="38" t="s">
        <v>776</v>
      </c>
      <c r="Q96" s="38" t="s">
        <v>665</v>
      </c>
      <c r="R96" s="38" t="s">
        <v>672</v>
      </c>
      <c r="S96" s="38" t="s">
        <v>673</v>
      </c>
      <c r="T96" s="38" t="s">
        <v>1145</v>
      </c>
      <c r="U96" s="38" t="s">
        <v>1146</v>
      </c>
    </row>
    <row r="97" spans="1:22" x14ac:dyDescent="0.25">
      <c r="A97" s="38">
        <v>98</v>
      </c>
      <c r="B97" s="38" t="s">
        <v>1147</v>
      </c>
      <c r="C97" s="38" t="s">
        <v>683</v>
      </c>
      <c r="D97" s="38" t="s">
        <v>684</v>
      </c>
      <c r="E97" s="38" t="s">
        <v>662</v>
      </c>
      <c r="F97" s="36" t="s">
        <v>615</v>
      </c>
      <c r="G97" s="36" t="str">
        <f>IFERROR(VLOOKUP(F97,EMP_Info[[Full name]:[Department]],2,FALSE),F97)</f>
        <v>PD Lab</v>
      </c>
      <c r="H97" s="38" t="s">
        <v>665</v>
      </c>
      <c r="I97" s="38" t="s">
        <v>560</v>
      </c>
      <c r="J97" s="38" t="s">
        <v>10</v>
      </c>
      <c r="K97" s="38" t="s">
        <v>1148</v>
      </c>
      <c r="L97" s="38" t="s">
        <v>1148</v>
      </c>
      <c r="M97" s="38" t="s">
        <v>1144</v>
      </c>
      <c r="N97" s="38" t="s">
        <v>679</v>
      </c>
      <c r="O97" s="38" t="s">
        <v>830</v>
      </c>
      <c r="P97" s="38" t="s">
        <v>776</v>
      </c>
      <c r="Q97" s="38" t="s">
        <v>665</v>
      </c>
      <c r="R97" s="38" t="s">
        <v>672</v>
      </c>
      <c r="S97" s="38" t="s">
        <v>673</v>
      </c>
      <c r="T97" s="38" t="s">
        <v>1149</v>
      </c>
      <c r="U97" s="38" t="s">
        <v>1150</v>
      </c>
    </row>
    <row r="98" spans="1:22" x14ac:dyDescent="0.25">
      <c r="A98" s="38">
        <v>99</v>
      </c>
      <c r="B98" s="38" t="s">
        <v>1151</v>
      </c>
      <c r="C98" s="38" t="s">
        <v>1152</v>
      </c>
      <c r="D98" s="38" t="s">
        <v>661</v>
      </c>
      <c r="E98" s="38" t="s">
        <v>662</v>
      </c>
      <c r="F98" s="36" t="s">
        <v>1153</v>
      </c>
      <c r="G98" s="36" t="str">
        <f>IFERROR(VLOOKUP(F98,EMP_Info[[Full name]:[Department]],2,FALSE),F98)</f>
        <v>Canteen</v>
      </c>
      <c r="H98" s="38" t="s">
        <v>665</v>
      </c>
      <c r="I98" s="38" t="s">
        <v>665</v>
      </c>
      <c r="J98" s="38" t="s">
        <v>665</v>
      </c>
      <c r="K98" s="38" t="s">
        <v>665</v>
      </c>
      <c r="L98" s="38" t="s">
        <v>665</v>
      </c>
      <c r="M98" s="38" t="s">
        <v>837</v>
      </c>
      <c r="N98" s="38" t="s">
        <v>668</v>
      </c>
      <c r="O98" s="38" t="s">
        <v>904</v>
      </c>
      <c r="P98" s="38" t="s">
        <v>714</v>
      </c>
      <c r="Q98" s="38"/>
      <c r="R98" s="38" t="s">
        <v>672</v>
      </c>
      <c r="S98" s="38" t="s">
        <v>848</v>
      </c>
      <c r="T98" s="38"/>
      <c r="U98" s="38"/>
    </row>
    <row r="99" spans="1:22" x14ac:dyDescent="0.25">
      <c r="A99" s="38">
        <v>100</v>
      </c>
      <c r="B99" s="38" t="s">
        <v>1154</v>
      </c>
      <c r="C99" s="38" t="s">
        <v>1100</v>
      </c>
      <c r="D99" s="38" t="s">
        <v>661</v>
      </c>
      <c r="E99" s="38" t="s">
        <v>662</v>
      </c>
      <c r="F99" s="36" t="s">
        <v>1100</v>
      </c>
      <c r="G99" s="36" t="str">
        <f>IFERROR(VLOOKUP(F99,EMP_Info[[Full name]:[Department]],2,FALSE),F99)</f>
        <v>ETP</v>
      </c>
      <c r="H99" s="38" t="s">
        <v>1100</v>
      </c>
      <c r="I99" s="38" t="s">
        <v>665</v>
      </c>
      <c r="J99" s="38" t="s">
        <v>665</v>
      </c>
      <c r="K99" s="38" t="s">
        <v>665</v>
      </c>
      <c r="L99" s="38" t="s">
        <v>665</v>
      </c>
      <c r="M99" s="38" t="s">
        <v>837</v>
      </c>
      <c r="N99" s="38" t="s">
        <v>668</v>
      </c>
      <c r="O99" s="38" t="s">
        <v>904</v>
      </c>
      <c r="P99" s="38" t="s">
        <v>1028</v>
      </c>
      <c r="Q99" s="38"/>
      <c r="R99" s="38" t="s">
        <v>672</v>
      </c>
      <c r="S99" s="38" t="s">
        <v>848</v>
      </c>
      <c r="T99" s="38"/>
      <c r="U99" s="38"/>
    </row>
    <row r="100" spans="1:22" x14ac:dyDescent="0.25">
      <c r="A100" s="38">
        <v>101</v>
      </c>
      <c r="B100" s="38" t="s">
        <v>1155</v>
      </c>
      <c r="C100" s="38" t="s">
        <v>1156</v>
      </c>
      <c r="D100" s="38" t="s">
        <v>661</v>
      </c>
      <c r="E100" s="38" t="s">
        <v>662</v>
      </c>
      <c r="F100" s="36" t="s">
        <v>517</v>
      </c>
      <c r="G100" s="36" t="str">
        <f>IFERROR(VLOOKUP(F100,EMP_Info[[Full name]:[Department]],2,FALSE),F100)</f>
        <v>Operation</v>
      </c>
      <c r="H100" s="38" t="s">
        <v>445</v>
      </c>
      <c r="I100" s="38" t="s">
        <v>665</v>
      </c>
      <c r="J100" s="38" t="s">
        <v>665</v>
      </c>
      <c r="K100" s="38" t="s">
        <v>665</v>
      </c>
      <c r="L100" s="38" t="s">
        <v>665</v>
      </c>
      <c r="M100" s="38" t="s">
        <v>837</v>
      </c>
      <c r="N100" s="38" t="s">
        <v>668</v>
      </c>
      <c r="O100" s="38" t="s">
        <v>669</v>
      </c>
      <c r="P100" s="38" t="s">
        <v>863</v>
      </c>
      <c r="Q100" s="38" t="s">
        <v>665</v>
      </c>
      <c r="R100" s="38" t="s">
        <v>672</v>
      </c>
      <c r="S100" s="38" t="s">
        <v>777</v>
      </c>
      <c r="T100" s="38" t="s">
        <v>1157</v>
      </c>
      <c r="U100" s="38"/>
    </row>
    <row r="101" spans="1:22" x14ac:dyDescent="0.25">
      <c r="A101" s="38">
        <v>102</v>
      </c>
      <c r="B101" s="38" t="s">
        <v>1158</v>
      </c>
      <c r="C101" s="38" t="s">
        <v>1159</v>
      </c>
      <c r="D101" s="38" t="s">
        <v>661</v>
      </c>
      <c r="E101" s="38" t="s">
        <v>662</v>
      </c>
      <c r="F101" s="36" t="s">
        <v>1089</v>
      </c>
      <c r="G101" s="36" t="str">
        <f>IFERROR(VLOOKUP(F101,EMP_Info[[Full name]:[Department]],2,FALSE),F101)</f>
        <v>GC Machine</v>
      </c>
      <c r="H101" s="38" t="s">
        <v>665</v>
      </c>
      <c r="I101" s="38" t="s">
        <v>665</v>
      </c>
      <c r="J101" s="38" t="s">
        <v>665</v>
      </c>
      <c r="K101" s="38" t="s">
        <v>1160</v>
      </c>
      <c r="L101" s="38" t="s">
        <v>1160</v>
      </c>
      <c r="M101" s="38" t="s">
        <v>1161</v>
      </c>
      <c r="N101" s="38" t="s">
        <v>749</v>
      </c>
      <c r="O101" s="38" t="s">
        <v>1129</v>
      </c>
      <c r="P101" s="38" t="s">
        <v>693</v>
      </c>
      <c r="Q101" s="38" t="s">
        <v>693</v>
      </c>
      <c r="R101" s="38" t="s">
        <v>726</v>
      </c>
      <c r="S101" s="38" t="s">
        <v>777</v>
      </c>
      <c r="T101" s="38" t="s">
        <v>1162</v>
      </c>
      <c r="U101" s="38" t="s">
        <v>1163</v>
      </c>
      <c r="V101" s="39" t="s">
        <v>1164</v>
      </c>
    </row>
    <row r="102" spans="1:22" x14ac:dyDescent="0.25">
      <c r="A102" s="38">
        <v>103</v>
      </c>
      <c r="B102" s="38" t="s">
        <v>1165</v>
      </c>
      <c r="C102" s="38" t="s">
        <v>1079</v>
      </c>
      <c r="D102" s="38" t="s">
        <v>684</v>
      </c>
      <c r="E102" s="38" t="s">
        <v>662</v>
      </c>
      <c r="F102" s="36" t="s">
        <v>611</v>
      </c>
      <c r="G102" s="36" t="str">
        <f>IFERROR(VLOOKUP(F102,EMP_Info[[Full name]:[Department]],2,FALSE),F102)</f>
        <v>Engineering</v>
      </c>
      <c r="H102" s="38" t="s">
        <v>665</v>
      </c>
      <c r="I102" s="38" t="s">
        <v>665</v>
      </c>
      <c r="J102" s="38" t="s">
        <v>665</v>
      </c>
      <c r="K102" s="38"/>
      <c r="L102" s="38"/>
      <c r="M102" s="38"/>
      <c r="N102" s="38" t="s">
        <v>668</v>
      </c>
      <c r="O102" s="38" t="s">
        <v>669</v>
      </c>
      <c r="P102" s="38" t="s">
        <v>750</v>
      </c>
      <c r="Q102" s="38"/>
      <c r="R102" s="38" t="s">
        <v>726</v>
      </c>
      <c r="S102" s="38" t="s">
        <v>777</v>
      </c>
      <c r="T102" s="38"/>
      <c r="U102" s="38"/>
    </row>
    <row r="103" spans="1:22" x14ac:dyDescent="0.25">
      <c r="A103" s="38">
        <v>104</v>
      </c>
      <c r="B103" s="38" t="s">
        <v>1166</v>
      </c>
      <c r="C103" s="38" t="s">
        <v>1167</v>
      </c>
      <c r="D103" s="38" t="s">
        <v>661</v>
      </c>
      <c r="E103" s="38" t="s">
        <v>662</v>
      </c>
      <c r="F103" s="36" t="s">
        <v>346</v>
      </c>
      <c r="G103" s="36" t="str">
        <f>IFERROR(VLOOKUP(F103,EMP_Info[[Full name]:[Department]],2,FALSE),F103)</f>
        <v>Production</v>
      </c>
      <c r="H103" s="38" t="s">
        <v>10</v>
      </c>
      <c r="I103" s="38" t="s">
        <v>665</v>
      </c>
      <c r="J103" s="38" t="s">
        <v>665</v>
      </c>
      <c r="K103" s="38" t="s">
        <v>665</v>
      </c>
      <c r="L103" s="38" t="s">
        <v>665</v>
      </c>
      <c r="M103" s="38" t="s">
        <v>837</v>
      </c>
      <c r="N103" s="38" t="s">
        <v>668</v>
      </c>
      <c r="O103" s="38" t="s">
        <v>669</v>
      </c>
      <c r="P103" s="38" t="s">
        <v>750</v>
      </c>
      <c r="Q103" s="38"/>
      <c r="R103" s="38" t="s">
        <v>672</v>
      </c>
      <c r="S103" s="38" t="s">
        <v>777</v>
      </c>
      <c r="T103" s="38"/>
      <c r="U103" s="38"/>
    </row>
    <row r="104" spans="1:22" x14ac:dyDescent="0.25">
      <c r="A104" s="38">
        <v>105</v>
      </c>
      <c r="B104" s="38" t="s">
        <v>1168</v>
      </c>
      <c r="C104" s="38" t="s">
        <v>1167</v>
      </c>
      <c r="D104" s="38" t="s">
        <v>661</v>
      </c>
      <c r="E104" s="38" t="s">
        <v>662</v>
      </c>
      <c r="F104" s="36" t="s">
        <v>188</v>
      </c>
      <c r="G104" s="36" t="str">
        <f>IFERROR(VLOOKUP(F104,EMP_Info[[Full name]:[Department]],2,FALSE),F104)</f>
        <v>Production</v>
      </c>
      <c r="H104" s="38" t="s">
        <v>10</v>
      </c>
      <c r="I104" s="38" t="s">
        <v>665</v>
      </c>
      <c r="J104" s="38" t="s">
        <v>665</v>
      </c>
      <c r="K104" s="38" t="s">
        <v>665</v>
      </c>
      <c r="L104" s="38" t="s">
        <v>665</v>
      </c>
      <c r="M104" s="38" t="s">
        <v>837</v>
      </c>
      <c r="N104" s="38" t="s">
        <v>668</v>
      </c>
      <c r="O104" s="38" t="s">
        <v>669</v>
      </c>
      <c r="P104" s="38" t="s">
        <v>750</v>
      </c>
      <c r="Q104" s="38"/>
      <c r="R104" s="38" t="s">
        <v>672</v>
      </c>
      <c r="S104" s="38" t="s">
        <v>777</v>
      </c>
      <c r="T104" s="38"/>
      <c r="U104" s="38"/>
    </row>
    <row r="105" spans="1:22" x14ac:dyDescent="0.25">
      <c r="A105" s="38">
        <v>106</v>
      </c>
      <c r="B105" s="38" t="s">
        <v>1169</v>
      </c>
      <c r="C105" s="38" t="s">
        <v>1167</v>
      </c>
      <c r="D105" s="38" t="s">
        <v>684</v>
      </c>
      <c r="E105" s="38" t="s">
        <v>662</v>
      </c>
      <c r="F105" s="36" t="s">
        <v>39</v>
      </c>
      <c r="G105" s="36" t="str">
        <f>IFERROR(VLOOKUP(F105,EMP_Info[[Full name]:[Department]],2,FALSE),F105)</f>
        <v>Production</v>
      </c>
      <c r="H105" s="38" t="s">
        <v>10</v>
      </c>
      <c r="I105" s="38" t="s">
        <v>665</v>
      </c>
      <c r="J105" s="38" t="s">
        <v>665</v>
      </c>
      <c r="K105" s="38" t="s">
        <v>665</v>
      </c>
      <c r="L105" s="38" t="s">
        <v>665</v>
      </c>
      <c r="M105" s="38" t="s">
        <v>1170</v>
      </c>
      <c r="N105" s="38" t="s">
        <v>749</v>
      </c>
      <c r="O105" s="38" t="s">
        <v>830</v>
      </c>
      <c r="P105" s="38" t="s">
        <v>750</v>
      </c>
      <c r="Q105" s="38"/>
      <c r="R105" s="38" t="s">
        <v>726</v>
      </c>
      <c r="S105" s="38" t="s">
        <v>1171</v>
      </c>
      <c r="T105" s="38" t="s">
        <v>1172</v>
      </c>
      <c r="U105" s="38" t="s">
        <v>1173</v>
      </c>
    </row>
    <row r="106" spans="1:22" x14ac:dyDescent="0.25">
      <c r="A106" s="38">
        <v>107</v>
      </c>
      <c r="B106" s="38" t="s">
        <v>1174</v>
      </c>
      <c r="C106" s="38" t="s">
        <v>1167</v>
      </c>
      <c r="D106" s="38" t="s">
        <v>684</v>
      </c>
      <c r="E106" s="38" t="s">
        <v>685</v>
      </c>
      <c r="F106" s="36" t="s">
        <v>120</v>
      </c>
      <c r="G106" s="36" t="str">
        <f>IFERROR(VLOOKUP(F106,EMP_Info[[Full name]:[Department]],2,FALSE),F106)</f>
        <v>HR</v>
      </c>
      <c r="H106" s="38" t="s">
        <v>665</v>
      </c>
      <c r="I106" s="38" t="s">
        <v>665</v>
      </c>
      <c r="J106" s="38" t="s">
        <v>665</v>
      </c>
      <c r="K106" s="38" t="s">
        <v>1175</v>
      </c>
      <c r="L106" s="38" t="s">
        <v>1175</v>
      </c>
      <c r="M106" s="38" t="s">
        <v>1176</v>
      </c>
      <c r="N106" s="38" t="s">
        <v>668</v>
      </c>
      <c r="O106" s="38" t="s">
        <v>830</v>
      </c>
      <c r="P106" s="38" t="s">
        <v>693</v>
      </c>
      <c r="Q106" s="38" t="s">
        <v>665</v>
      </c>
      <c r="R106" s="38" t="s">
        <v>720</v>
      </c>
      <c r="S106" s="38" t="s">
        <v>1171</v>
      </c>
      <c r="T106" s="38" t="s">
        <v>1177</v>
      </c>
      <c r="U106" s="38"/>
    </row>
    <row r="107" spans="1:22" x14ac:dyDescent="0.25">
      <c r="A107" s="38">
        <v>108</v>
      </c>
      <c r="B107" s="38" t="s">
        <v>1178</v>
      </c>
      <c r="C107" s="38" t="s">
        <v>1167</v>
      </c>
      <c r="D107" s="38" t="s">
        <v>661</v>
      </c>
      <c r="E107" s="38" t="s">
        <v>662</v>
      </c>
      <c r="F107" s="36" t="s">
        <v>1512</v>
      </c>
      <c r="G107" s="36" t="str">
        <f>IFERROR(VLOOKUP(F107,EMP_Info[[Full name]:[Department]],2,FALSE),F107)</f>
        <v>HR Team</v>
      </c>
      <c r="H107" s="38" t="s">
        <v>665</v>
      </c>
      <c r="I107" s="38" t="s">
        <v>665</v>
      </c>
      <c r="J107" s="38" t="s">
        <v>665</v>
      </c>
      <c r="K107" s="38" t="s">
        <v>665</v>
      </c>
      <c r="L107" s="38" t="s">
        <v>665</v>
      </c>
      <c r="M107" s="38" t="s">
        <v>837</v>
      </c>
      <c r="N107" s="38" t="s">
        <v>679</v>
      </c>
      <c r="O107" s="38" t="s">
        <v>1129</v>
      </c>
      <c r="P107" s="38" t="s">
        <v>750</v>
      </c>
      <c r="Q107" s="38"/>
      <c r="R107" s="38" t="s">
        <v>720</v>
      </c>
      <c r="S107" s="38" t="s">
        <v>1171</v>
      </c>
      <c r="T107" s="38" t="s">
        <v>1179</v>
      </c>
      <c r="U107" s="38"/>
    </row>
    <row r="108" spans="1:22" x14ac:dyDescent="0.25">
      <c r="A108" s="38">
        <v>109</v>
      </c>
      <c r="B108" s="38" t="s">
        <v>1180</v>
      </c>
      <c r="C108" s="38" t="s">
        <v>1167</v>
      </c>
      <c r="D108" s="38" t="s">
        <v>661</v>
      </c>
      <c r="E108" s="38" t="s">
        <v>662</v>
      </c>
      <c r="F108" s="36" t="s">
        <v>442</v>
      </c>
      <c r="G108" s="36" t="str">
        <f>IFERROR(VLOOKUP(F108,EMP_Info[[Full name]:[Department]],2,FALSE),F108)</f>
        <v>Maintenance</v>
      </c>
      <c r="H108" s="38" t="s">
        <v>665</v>
      </c>
      <c r="I108" s="38" t="s">
        <v>665</v>
      </c>
      <c r="J108" s="38" t="s">
        <v>665</v>
      </c>
      <c r="K108" s="38" t="s">
        <v>665</v>
      </c>
      <c r="L108" s="38" t="s">
        <v>665</v>
      </c>
      <c r="M108" s="38" t="s">
        <v>837</v>
      </c>
      <c r="N108" s="38" t="s">
        <v>679</v>
      </c>
      <c r="O108" s="38" t="s">
        <v>1129</v>
      </c>
      <c r="P108" s="38" t="s">
        <v>750</v>
      </c>
      <c r="Q108" s="38"/>
      <c r="R108" s="38" t="s">
        <v>720</v>
      </c>
      <c r="S108" s="38" t="s">
        <v>1171</v>
      </c>
      <c r="T108" s="38" t="s">
        <v>1181</v>
      </c>
      <c r="U108" s="38"/>
    </row>
    <row r="109" spans="1:22" ht="31.5" x14ac:dyDescent="0.25">
      <c r="A109" s="38">
        <v>110</v>
      </c>
      <c r="B109" s="38" t="s">
        <v>1182</v>
      </c>
      <c r="C109" s="38" t="s">
        <v>1167</v>
      </c>
      <c r="D109" s="38" t="s">
        <v>661</v>
      </c>
      <c r="E109" s="38" t="s">
        <v>662</v>
      </c>
      <c r="F109" s="36" t="s">
        <v>665</v>
      </c>
      <c r="G109" s="36" t="str">
        <f>IFERROR(VLOOKUP(F109,EMP_Info[[Full name]:[Department]],2,FALSE),F109)</f>
        <v>-</v>
      </c>
      <c r="H109" s="38" t="s">
        <v>665</v>
      </c>
      <c r="I109" s="38" t="s">
        <v>270</v>
      </c>
      <c r="J109" s="38" t="s">
        <v>36</v>
      </c>
      <c r="K109" s="38" t="s">
        <v>665</v>
      </c>
      <c r="L109" s="38" t="s">
        <v>665</v>
      </c>
      <c r="M109" s="38" t="s">
        <v>837</v>
      </c>
      <c r="N109" s="38" t="s">
        <v>679</v>
      </c>
      <c r="O109" s="38" t="s">
        <v>1129</v>
      </c>
      <c r="P109" s="38" t="s">
        <v>750</v>
      </c>
      <c r="Q109" s="38"/>
      <c r="R109" s="38" t="s">
        <v>720</v>
      </c>
      <c r="S109" s="38" t="s">
        <v>1171</v>
      </c>
      <c r="T109" s="38"/>
      <c r="U109" s="38"/>
    </row>
    <row r="110" spans="1:22" x14ac:dyDescent="0.25">
      <c r="A110" s="38">
        <v>111</v>
      </c>
      <c r="B110" s="38" t="s">
        <v>1183</v>
      </c>
      <c r="C110" s="38" t="s">
        <v>1167</v>
      </c>
      <c r="D110" s="38" t="s">
        <v>661</v>
      </c>
      <c r="E110" s="38" t="s">
        <v>662</v>
      </c>
      <c r="F110" s="36" t="s">
        <v>379</v>
      </c>
      <c r="G110" s="36" t="str">
        <f>IFERROR(VLOOKUP(F110,EMP_Info[[Full name]:[Department]],2,FALSE),F110)</f>
        <v>Purchase</v>
      </c>
      <c r="H110" s="38" t="s">
        <v>665</v>
      </c>
      <c r="I110" s="38" t="s">
        <v>665</v>
      </c>
      <c r="J110" s="38" t="s">
        <v>665</v>
      </c>
      <c r="K110" s="38" t="s">
        <v>665</v>
      </c>
      <c r="L110" s="38" t="s">
        <v>665</v>
      </c>
      <c r="M110" s="38" t="s">
        <v>837</v>
      </c>
      <c r="N110" s="38" t="s">
        <v>679</v>
      </c>
      <c r="O110" s="38" t="s">
        <v>1129</v>
      </c>
      <c r="P110" s="38" t="s">
        <v>750</v>
      </c>
      <c r="Q110" s="38"/>
      <c r="R110" s="38" t="s">
        <v>720</v>
      </c>
      <c r="S110" s="38" t="s">
        <v>1171</v>
      </c>
      <c r="T110" s="38" t="s">
        <v>1184</v>
      </c>
      <c r="U110" s="38"/>
    </row>
    <row r="111" spans="1:22" x14ac:dyDescent="0.25">
      <c r="A111" s="38">
        <v>112</v>
      </c>
      <c r="B111" s="38" t="s">
        <v>1185</v>
      </c>
      <c r="C111" s="38" t="s">
        <v>1167</v>
      </c>
      <c r="D111" s="38" t="s">
        <v>661</v>
      </c>
      <c r="E111" s="38" t="s">
        <v>662</v>
      </c>
      <c r="F111" s="36" t="s">
        <v>1508</v>
      </c>
      <c r="G111" s="36" t="str">
        <f>IFERROR(VLOOKUP(F111,EMP_Info[[Full name]:[Department]],2,FALSE),F111)</f>
        <v>Purchase</v>
      </c>
      <c r="H111" s="38" t="s">
        <v>665</v>
      </c>
      <c r="I111" s="38" t="s">
        <v>331</v>
      </c>
      <c r="J111" s="38" t="s">
        <v>332</v>
      </c>
      <c r="K111" s="38" t="s">
        <v>665</v>
      </c>
      <c r="L111" s="38" t="s">
        <v>665</v>
      </c>
      <c r="M111" s="38" t="s">
        <v>837</v>
      </c>
      <c r="N111" s="38" t="s">
        <v>679</v>
      </c>
      <c r="O111" s="38" t="s">
        <v>1129</v>
      </c>
      <c r="P111" s="38" t="s">
        <v>750</v>
      </c>
      <c r="Q111" s="38"/>
      <c r="R111" s="38" t="s">
        <v>720</v>
      </c>
      <c r="S111" s="38" t="s">
        <v>1171</v>
      </c>
      <c r="T111" s="38"/>
      <c r="U111" s="38"/>
    </row>
    <row r="112" spans="1:22" x14ac:dyDescent="0.25">
      <c r="A112" s="38">
        <v>113</v>
      </c>
      <c r="B112" s="38" t="s">
        <v>1186</v>
      </c>
      <c r="C112" s="38" t="s">
        <v>1167</v>
      </c>
      <c r="D112" s="38" t="s">
        <v>661</v>
      </c>
      <c r="E112" s="38" t="s">
        <v>662</v>
      </c>
      <c r="F112" s="36" t="s">
        <v>637</v>
      </c>
      <c r="G112" s="36" t="str">
        <f>IFERROR(VLOOKUP(F112,EMP_Info[[Full name]:[Department]],2,FALSE),F112)</f>
        <v>HR</v>
      </c>
      <c r="H112" s="38" t="s">
        <v>17</v>
      </c>
      <c r="I112" s="38" t="s">
        <v>665</v>
      </c>
      <c r="J112" s="38" t="s">
        <v>665</v>
      </c>
      <c r="K112" s="38" t="s">
        <v>665</v>
      </c>
      <c r="L112" s="38" t="s">
        <v>665</v>
      </c>
      <c r="M112" s="38" t="s">
        <v>837</v>
      </c>
      <c r="N112" s="38" t="s">
        <v>679</v>
      </c>
      <c r="O112" s="38" t="s">
        <v>1129</v>
      </c>
      <c r="P112" s="38" t="s">
        <v>750</v>
      </c>
      <c r="Q112" s="38"/>
      <c r="R112" s="38" t="s">
        <v>720</v>
      </c>
      <c r="S112" s="38" t="s">
        <v>1171</v>
      </c>
      <c r="T112" s="38" t="s">
        <v>1187</v>
      </c>
      <c r="U112" s="38"/>
    </row>
    <row r="113" spans="1:21" x14ac:dyDescent="0.25">
      <c r="A113" s="38">
        <v>114</v>
      </c>
      <c r="B113" s="38" t="s">
        <v>1509</v>
      </c>
      <c r="C113" s="38" t="s">
        <v>1167</v>
      </c>
      <c r="D113" s="38" t="s">
        <v>661</v>
      </c>
      <c r="E113" s="38" t="s">
        <v>662</v>
      </c>
      <c r="F113" s="36" t="s">
        <v>14</v>
      </c>
      <c r="G113" s="36" t="str">
        <f>IFERROR(VLOOKUP(F113,EMP_Info[[Full name]:[Department]],2,FALSE),F113)</f>
        <v>PD Lab</v>
      </c>
      <c r="H113" s="38" t="s">
        <v>665</v>
      </c>
      <c r="I113" s="38" t="s">
        <v>1469</v>
      </c>
      <c r="J113" s="38" t="s">
        <v>65</v>
      </c>
      <c r="K113" s="38" t="s">
        <v>665</v>
      </c>
      <c r="L113" s="38" t="s">
        <v>665</v>
      </c>
      <c r="M113" s="38" t="s">
        <v>837</v>
      </c>
      <c r="N113" s="38" t="s">
        <v>679</v>
      </c>
      <c r="O113" s="38" t="s">
        <v>1129</v>
      </c>
      <c r="P113" s="38" t="s">
        <v>750</v>
      </c>
      <c r="Q113" s="38"/>
      <c r="R113" s="38" t="s">
        <v>720</v>
      </c>
      <c r="S113" s="38" t="s">
        <v>1171</v>
      </c>
      <c r="T113" s="38"/>
      <c r="U113" s="38"/>
    </row>
    <row r="114" spans="1:21" x14ac:dyDescent="0.25">
      <c r="A114" s="66">
        <v>115</v>
      </c>
      <c r="B114" s="66" t="s">
        <v>1188</v>
      </c>
      <c r="C114" s="66" t="s">
        <v>1167</v>
      </c>
      <c r="D114" s="66" t="s">
        <v>661</v>
      </c>
      <c r="E114" s="66" t="s">
        <v>662</v>
      </c>
      <c r="F114" s="67" t="s">
        <v>1189</v>
      </c>
      <c r="G114" s="67" t="str">
        <f>IFERROR(VLOOKUP(F114,EMP_Info[[Full name]:[Department]],2,FALSE),F114)</f>
        <v>Gc Machine</v>
      </c>
      <c r="H114" s="66" t="s">
        <v>753</v>
      </c>
      <c r="I114" s="66" t="s">
        <v>665</v>
      </c>
      <c r="J114" s="66" t="s">
        <v>665</v>
      </c>
      <c r="K114" s="66" t="s">
        <v>1190</v>
      </c>
      <c r="L114" s="66" t="s">
        <v>665</v>
      </c>
      <c r="M114" s="66" t="s">
        <v>1191</v>
      </c>
      <c r="N114" s="66" t="s">
        <v>1192</v>
      </c>
      <c r="O114" s="66" t="s">
        <v>1129</v>
      </c>
      <c r="P114" s="66" t="s">
        <v>671</v>
      </c>
      <c r="Q114" s="66" t="s">
        <v>1193</v>
      </c>
      <c r="R114" s="66" t="s">
        <v>832</v>
      </c>
      <c r="S114" s="66" t="s">
        <v>1171</v>
      </c>
      <c r="T114" s="66"/>
      <c r="U114" s="66"/>
    </row>
    <row r="115" spans="1:21" x14ac:dyDescent="0.25">
      <c r="A115" s="68">
        <v>116</v>
      </c>
      <c r="B115" s="68" t="s">
        <v>1194</v>
      </c>
      <c r="C115" s="68" t="s">
        <v>1167</v>
      </c>
      <c r="D115" s="68" t="s">
        <v>661</v>
      </c>
      <c r="E115" s="68" t="s">
        <v>662</v>
      </c>
      <c r="F115" s="69" t="s">
        <v>1189</v>
      </c>
      <c r="G115" s="69" t="str">
        <f>IFERROR(VLOOKUP(F115,EMP_Info[[Full name]:[Department]],2,FALSE),F115)</f>
        <v>Gc Machine</v>
      </c>
      <c r="H115" s="68" t="s">
        <v>753</v>
      </c>
      <c r="I115" s="68" t="s">
        <v>665</v>
      </c>
      <c r="J115" s="68" t="s">
        <v>665</v>
      </c>
      <c r="K115" s="68" t="s">
        <v>1195</v>
      </c>
      <c r="L115" s="68" t="s">
        <v>665</v>
      </c>
      <c r="M115" s="68" t="s">
        <v>1191</v>
      </c>
      <c r="N115" s="68" t="s">
        <v>1192</v>
      </c>
      <c r="O115" s="68" t="s">
        <v>1129</v>
      </c>
      <c r="P115" s="68" t="s">
        <v>671</v>
      </c>
      <c r="Q115" s="68" t="s">
        <v>1193</v>
      </c>
      <c r="R115" s="68" t="s">
        <v>832</v>
      </c>
      <c r="S115" s="68" t="s">
        <v>1171</v>
      </c>
      <c r="T115" s="68" t="s">
        <v>1196</v>
      </c>
      <c r="U115" s="68"/>
    </row>
    <row r="116" spans="1:21" x14ac:dyDescent="0.25">
      <c r="A116" s="68">
        <v>117</v>
      </c>
      <c r="B116" s="68" t="s">
        <v>1431</v>
      </c>
      <c r="C116" s="68" t="s">
        <v>1156</v>
      </c>
      <c r="D116" s="68" t="s">
        <v>684</v>
      </c>
      <c r="E116" s="68" t="s">
        <v>662</v>
      </c>
      <c r="F116" s="69" t="s">
        <v>111</v>
      </c>
      <c r="G116" s="69" t="str">
        <f>IFERROR(VLOOKUP(F116,EMP_Info[[Full name]:[Department]],2,FALSE),F116)</f>
        <v>EHS</v>
      </c>
      <c r="H116" s="68" t="s">
        <v>112</v>
      </c>
      <c r="I116" s="68" t="s">
        <v>665</v>
      </c>
      <c r="J116" s="68" t="s">
        <v>665</v>
      </c>
      <c r="K116" s="68" t="s">
        <v>1432</v>
      </c>
      <c r="L116" s="68" t="s">
        <v>1432</v>
      </c>
      <c r="M116" s="68" t="s">
        <v>1433</v>
      </c>
      <c r="N116" s="68" t="s">
        <v>668</v>
      </c>
      <c r="O116" s="68" t="s">
        <v>830</v>
      </c>
      <c r="P116" s="68" t="s">
        <v>840</v>
      </c>
      <c r="Q116" s="68"/>
      <c r="R116" s="68" t="s">
        <v>720</v>
      </c>
      <c r="S116" s="68" t="s">
        <v>1171</v>
      </c>
      <c r="T116" s="68" t="s">
        <v>1434</v>
      </c>
      <c r="U116" s="68"/>
    </row>
    <row r="117" spans="1:21" x14ac:dyDescent="0.25">
      <c r="A117" s="68">
        <v>118</v>
      </c>
      <c r="B117" s="68" t="s">
        <v>1445</v>
      </c>
      <c r="C117" s="68"/>
      <c r="D117" s="68" t="s">
        <v>684</v>
      </c>
      <c r="E117" s="68" t="s">
        <v>662</v>
      </c>
      <c r="F117" s="69" t="s">
        <v>1440</v>
      </c>
      <c r="G117" s="69" t="str">
        <f>IFERROR(VLOOKUP(F117,EMP_Info[[Full name]:[Department]],2,FALSE),F117)</f>
        <v>Production</v>
      </c>
      <c r="H117" s="68" t="s">
        <v>665</v>
      </c>
      <c r="I117" s="68" t="s">
        <v>665</v>
      </c>
      <c r="J117" s="68" t="s">
        <v>665</v>
      </c>
      <c r="K117" s="68" t="s">
        <v>1435</v>
      </c>
      <c r="L117" s="68" t="s">
        <v>1435</v>
      </c>
      <c r="M117" s="68" t="s">
        <v>1436</v>
      </c>
      <c r="N117" s="68" t="s">
        <v>1437</v>
      </c>
      <c r="O117" s="68" t="s">
        <v>830</v>
      </c>
      <c r="P117" s="68" t="s">
        <v>840</v>
      </c>
      <c r="Q117" s="68"/>
      <c r="R117" s="68" t="s">
        <v>720</v>
      </c>
      <c r="S117" s="68" t="s">
        <v>1171</v>
      </c>
      <c r="T117" s="68" t="s">
        <v>1438</v>
      </c>
      <c r="U117" s="68"/>
    </row>
    <row r="118" spans="1:21" x14ac:dyDescent="0.25">
      <c r="A118" s="68">
        <v>119</v>
      </c>
      <c r="B118" s="68" t="s">
        <v>1479</v>
      </c>
      <c r="C118" s="68"/>
      <c r="D118" s="68" t="s">
        <v>684</v>
      </c>
      <c r="E118" s="68" t="s">
        <v>662</v>
      </c>
      <c r="F118" s="69" t="s">
        <v>1478</v>
      </c>
      <c r="G118" s="69" t="str">
        <f>IFERROR(VLOOKUP(F118,EMP_Info[[Full name]:[Department]],2,FALSE),F118)</f>
        <v>Production</v>
      </c>
      <c r="H118" s="68" t="s">
        <v>10</v>
      </c>
      <c r="I118" s="68" t="s">
        <v>665</v>
      </c>
      <c r="J118" s="68" t="s">
        <v>665</v>
      </c>
      <c r="K118" s="68" t="s">
        <v>1470</v>
      </c>
      <c r="L118" s="68" t="s">
        <v>1470</v>
      </c>
      <c r="M118" s="68" t="s">
        <v>1433</v>
      </c>
      <c r="N118" s="68" t="s">
        <v>668</v>
      </c>
      <c r="O118" s="68" t="s">
        <v>830</v>
      </c>
      <c r="P118" s="68" t="s">
        <v>840</v>
      </c>
      <c r="Q118" s="68"/>
      <c r="R118" s="68" t="s">
        <v>720</v>
      </c>
      <c r="S118" s="68" t="s">
        <v>1171</v>
      </c>
      <c r="T118" s="68" t="s">
        <v>1471</v>
      </c>
      <c r="U118" s="68" t="s">
        <v>1472</v>
      </c>
    </row>
    <row r="119" spans="1:21" x14ac:dyDescent="0.25">
      <c r="A119" s="68">
        <v>120</v>
      </c>
      <c r="B119" s="68" t="s">
        <v>1446</v>
      </c>
      <c r="C119" s="68" t="s">
        <v>1167</v>
      </c>
      <c r="D119" s="68" t="s">
        <v>661</v>
      </c>
      <c r="E119" s="68" t="s">
        <v>662</v>
      </c>
      <c r="F119" s="69" t="s">
        <v>1513</v>
      </c>
      <c r="G119" s="69" t="str">
        <f>IFERROR(VLOOKUP(F119,EMP_Info[[Full name]:[Department]],2,FALSE),F119)</f>
        <v>QC LAB</v>
      </c>
      <c r="H119" s="68" t="s">
        <v>927</v>
      </c>
      <c r="I119" s="68"/>
      <c r="J119" s="68"/>
      <c r="K119" s="68" t="s">
        <v>665</v>
      </c>
      <c r="L119" s="68"/>
      <c r="M119" s="38" t="s">
        <v>837</v>
      </c>
      <c r="N119" s="68" t="s">
        <v>679</v>
      </c>
      <c r="O119" s="68" t="s">
        <v>830</v>
      </c>
      <c r="P119" s="68" t="s">
        <v>750</v>
      </c>
      <c r="Q119" s="68"/>
      <c r="R119" s="68" t="s">
        <v>720</v>
      </c>
      <c r="S119" s="68" t="s">
        <v>1447</v>
      </c>
      <c r="T119" s="68"/>
      <c r="U119" s="68"/>
    </row>
    <row r="120" spans="1:21" x14ac:dyDescent="0.25">
      <c r="A120" s="68">
        <v>121</v>
      </c>
      <c r="B120" s="68" t="s">
        <v>1473</v>
      </c>
      <c r="C120" s="68" t="s">
        <v>1167</v>
      </c>
      <c r="D120" s="68" t="s">
        <v>684</v>
      </c>
      <c r="E120" s="68" t="s">
        <v>662</v>
      </c>
      <c r="F120" s="69" t="s">
        <v>665</v>
      </c>
      <c r="G120" s="69" t="str">
        <f>IFERROR(VLOOKUP(F120,EMP_Info[[Full name]:[Department]],2,FALSE),F120)</f>
        <v>-</v>
      </c>
      <c r="H120" s="68" t="s">
        <v>927</v>
      </c>
      <c r="I120" s="68" t="s">
        <v>665</v>
      </c>
      <c r="J120" s="68" t="s">
        <v>665</v>
      </c>
      <c r="K120" s="68" t="s">
        <v>1474</v>
      </c>
      <c r="L120" s="68" t="s">
        <v>1474</v>
      </c>
      <c r="M120" s="38" t="s">
        <v>1475</v>
      </c>
      <c r="N120" s="68" t="s">
        <v>668</v>
      </c>
      <c r="O120" s="68" t="s">
        <v>680</v>
      </c>
      <c r="P120" s="68" t="s">
        <v>750</v>
      </c>
      <c r="Q120" s="68"/>
      <c r="R120" s="68" t="s">
        <v>720</v>
      </c>
      <c r="S120" s="68" t="s">
        <v>1447</v>
      </c>
      <c r="T120" s="68" t="s">
        <v>1476</v>
      </c>
      <c r="U120" s="68"/>
    </row>
    <row r="121" spans="1:21" x14ac:dyDescent="0.25">
      <c r="A121" s="68">
        <v>122</v>
      </c>
      <c r="B121" s="68" t="s">
        <v>1480</v>
      </c>
      <c r="C121" s="68"/>
      <c r="D121" s="68" t="s">
        <v>684</v>
      </c>
      <c r="E121" s="68" t="s">
        <v>662</v>
      </c>
      <c r="F121" s="69" t="s">
        <v>1486</v>
      </c>
      <c r="G121" s="69" t="str">
        <f>IFERROR(VLOOKUP(F121,EMP_Info[[Full name]:[Department]],2,FALSE),F121)</f>
        <v>EHS</v>
      </c>
      <c r="H121" s="68"/>
      <c r="I121" s="68" t="s">
        <v>665</v>
      </c>
      <c r="J121" s="68" t="s">
        <v>665</v>
      </c>
      <c r="K121" s="68" t="s">
        <v>1496</v>
      </c>
      <c r="L121" s="68" t="s">
        <v>1496</v>
      </c>
      <c r="M121" s="38" t="s">
        <v>1497</v>
      </c>
      <c r="N121" s="68" t="s">
        <v>1481</v>
      </c>
      <c r="O121" s="68" t="s">
        <v>1482</v>
      </c>
      <c r="P121" s="68" t="s">
        <v>840</v>
      </c>
      <c r="Q121" s="68"/>
      <c r="R121" s="68" t="s">
        <v>720</v>
      </c>
      <c r="S121" s="68" t="s">
        <v>1171</v>
      </c>
      <c r="T121" s="68" t="s">
        <v>1495</v>
      </c>
      <c r="U121" s="68"/>
    </row>
    <row r="122" spans="1:21" x14ac:dyDescent="0.25">
      <c r="A122" s="68">
        <v>123</v>
      </c>
      <c r="B122" s="68" t="s">
        <v>1498</v>
      </c>
      <c r="C122" s="68"/>
      <c r="D122" s="68" t="s">
        <v>684</v>
      </c>
      <c r="E122" s="68" t="s">
        <v>662</v>
      </c>
      <c r="F122" s="69" t="s">
        <v>413</v>
      </c>
      <c r="G122" s="69" t="str">
        <f>IFERROR(VLOOKUP(F122,EMP_Info[[Full name]:[Department]],2,FALSE),F122)</f>
        <v>Quality Assurance</v>
      </c>
      <c r="H122" s="68"/>
      <c r="I122" s="68" t="s">
        <v>665</v>
      </c>
      <c r="J122" s="68" t="s">
        <v>665</v>
      </c>
      <c r="K122" s="68" t="s">
        <v>1499</v>
      </c>
      <c r="L122" s="68" t="s">
        <v>1499</v>
      </c>
      <c r="M122" s="38" t="s">
        <v>1497</v>
      </c>
      <c r="N122" s="68" t="s">
        <v>1481</v>
      </c>
      <c r="O122" s="68" t="s">
        <v>1482</v>
      </c>
      <c r="P122" s="68" t="s">
        <v>840</v>
      </c>
      <c r="Q122" s="68"/>
      <c r="R122" s="68" t="s">
        <v>720</v>
      </c>
      <c r="S122" s="68" t="s">
        <v>1171</v>
      </c>
      <c r="T122" s="68" t="s">
        <v>1501</v>
      </c>
      <c r="U122" s="68"/>
    </row>
    <row r="123" spans="1:21" x14ac:dyDescent="0.25">
      <c r="A123" s="68">
        <v>124</v>
      </c>
      <c r="B123" s="68" t="s">
        <v>1500</v>
      </c>
      <c r="C123" s="68"/>
      <c r="D123" s="68" t="s">
        <v>684</v>
      </c>
      <c r="E123" s="68" t="s">
        <v>662</v>
      </c>
      <c r="F123" s="69" t="s">
        <v>1469</v>
      </c>
      <c r="G123" s="69" t="str">
        <f>IFERROR(VLOOKUP(F123,EMP_Info[[Full name]:[Department]],2,FALSE),F123)</f>
        <v>Quality Control</v>
      </c>
      <c r="H123" s="68"/>
      <c r="I123" s="68" t="s">
        <v>665</v>
      </c>
      <c r="J123" s="68" t="s">
        <v>665</v>
      </c>
      <c r="K123" s="68" t="s">
        <v>1503</v>
      </c>
      <c r="L123" s="68" t="s">
        <v>1503</v>
      </c>
      <c r="M123" s="38" t="s">
        <v>1504</v>
      </c>
      <c r="N123" s="68" t="s">
        <v>1481</v>
      </c>
      <c r="O123" s="68" t="s">
        <v>1482</v>
      </c>
      <c r="P123" s="68" t="s">
        <v>840</v>
      </c>
      <c r="Q123" s="68"/>
      <c r="R123" s="68" t="s">
        <v>720</v>
      </c>
      <c r="S123" s="68" t="s">
        <v>1171</v>
      </c>
      <c r="T123" s="68" t="s">
        <v>1502</v>
      </c>
      <c r="U123" s="68"/>
    </row>
  </sheetData>
  <phoneticPr fontId="16" type="noConversion"/>
  <conditionalFormatting sqref="B2:B123">
    <cfRule type="expression" dxfId="5" priority="1">
      <formula>AND($F2&lt;&gt;"-",$F2&lt;&gt;"",$F2&lt;&gt;"In Stock")=TRUE</formula>
    </cfRule>
  </conditionalFormatting>
  <dataValidations count="1">
    <dataValidation type="list" allowBlank="1" showInputMessage="1" sqref="F2:F103 I45 F105:F123" xr:uid="{CF53AED1-888F-4653-847F-FDAD307C50E2}">
      <formula1>INDIRECT("EMP_Info[Full Name]")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4AB0-899F-4CF0-B121-AFFBCEBB08F2}">
  <dimension ref="A1:F3"/>
  <sheetViews>
    <sheetView workbookViewId="0">
      <selection activeCell="E3" sqref="E3"/>
    </sheetView>
  </sheetViews>
  <sheetFormatPr defaultRowHeight="15" x14ac:dyDescent="0.25"/>
  <sheetData>
    <row r="1" spans="1:6" x14ac:dyDescent="0.25">
      <c r="A1" s="51" t="s">
        <v>1197</v>
      </c>
      <c r="B1" s="51" t="s">
        <v>1198</v>
      </c>
      <c r="C1" s="51" t="s">
        <v>1199</v>
      </c>
      <c r="D1" s="51" t="s">
        <v>1200</v>
      </c>
      <c r="E1" s="51" t="s">
        <v>1201</v>
      </c>
      <c r="F1" s="51" t="s">
        <v>696</v>
      </c>
    </row>
    <row r="2" spans="1:6" x14ac:dyDescent="0.25">
      <c r="A2" s="51" t="s">
        <v>684</v>
      </c>
      <c r="B2" s="51">
        <v>34</v>
      </c>
      <c r="C2" s="51">
        <v>2</v>
      </c>
      <c r="D2" s="51">
        <f>B2-(C2)</f>
        <v>32</v>
      </c>
      <c r="E2" s="51">
        <v>1</v>
      </c>
      <c r="F2" s="51">
        <v>3</v>
      </c>
    </row>
    <row r="3" spans="1:6" x14ac:dyDescent="0.25">
      <c r="A3" s="51" t="s">
        <v>661</v>
      </c>
      <c r="B3" s="51">
        <v>67</v>
      </c>
      <c r="C3" s="51">
        <v>1</v>
      </c>
      <c r="D3" s="51">
        <f>B3-(C3)</f>
        <v>66</v>
      </c>
      <c r="E3" s="51">
        <v>0</v>
      </c>
      <c r="F3" s="5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39B9-4B77-480A-89A5-634A1200B04F}">
  <sheetPr>
    <pageSetUpPr fitToPage="1"/>
  </sheetPr>
  <dimension ref="A1:K19"/>
  <sheetViews>
    <sheetView workbookViewId="0">
      <selection sqref="A1:K1"/>
    </sheetView>
  </sheetViews>
  <sheetFormatPr defaultRowHeight="15" x14ac:dyDescent="0.25"/>
  <cols>
    <col min="1" max="1" width="8.7109375" style="2" bestFit="1" customWidth="1"/>
    <col min="2" max="2" width="9.7109375" style="2" bestFit="1" customWidth="1"/>
    <col min="3" max="3" width="19.85546875" style="2" bestFit="1" customWidth="1"/>
    <col min="4" max="4" width="14.7109375" style="2" bestFit="1" customWidth="1"/>
    <col min="5" max="5" width="10.7109375" style="2" bestFit="1" customWidth="1"/>
    <col min="6" max="6" width="27.140625" style="2" bestFit="1" customWidth="1"/>
    <col min="7" max="7" width="12" style="2" bestFit="1" customWidth="1"/>
    <col min="8" max="8" width="18.140625" style="2" bestFit="1" customWidth="1"/>
    <col min="9" max="9" width="8.28515625" style="4" bestFit="1" customWidth="1"/>
    <col min="10" max="10" width="39.140625" style="2" bestFit="1" customWidth="1"/>
    <col min="11" max="11" width="14.28515625" customWidth="1"/>
    <col min="12" max="12" width="19.85546875" bestFit="1" customWidth="1"/>
  </cols>
  <sheetData>
    <row r="1" spans="1:11" ht="19.5" customHeight="1" x14ac:dyDescent="0.25">
      <c r="A1" s="1" t="s">
        <v>1202</v>
      </c>
      <c r="B1" s="1" t="s">
        <v>1203</v>
      </c>
      <c r="C1" s="1" t="s">
        <v>642</v>
      </c>
      <c r="D1" s="1" t="s">
        <v>643</v>
      </c>
      <c r="E1" s="1" t="s">
        <v>644</v>
      </c>
      <c r="F1" s="1" t="s">
        <v>1204</v>
      </c>
      <c r="G1" s="1" t="s">
        <v>2</v>
      </c>
      <c r="H1" s="1" t="s">
        <v>649</v>
      </c>
      <c r="I1" s="3" t="s">
        <v>651</v>
      </c>
      <c r="J1" s="41" t="s">
        <v>1205</v>
      </c>
      <c r="K1" s="42" t="s">
        <v>1206</v>
      </c>
    </row>
    <row r="2" spans="1:11" x14ac:dyDescent="0.25">
      <c r="A2" s="43">
        <v>1</v>
      </c>
      <c r="B2" s="43"/>
      <c r="C2" s="43" t="s">
        <v>683</v>
      </c>
      <c r="D2" s="43" t="s">
        <v>1207</v>
      </c>
      <c r="E2" s="43" t="s">
        <v>662</v>
      </c>
      <c r="F2" s="14" t="s">
        <v>1208</v>
      </c>
      <c r="G2" s="44" t="s">
        <v>753</v>
      </c>
      <c r="H2" s="44" t="s">
        <v>1209</v>
      </c>
      <c r="I2" s="45" t="s">
        <v>788</v>
      </c>
      <c r="J2" s="46" t="s">
        <v>1210</v>
      </c>
      <c r="K2" s="6" t="s">
        <v>1211</v>
      </c>
    </row>
    <row r="3" spans="1:11" x14ac:dyDescent="0.25">
      <c r="A3" s="43">
        <v>2</v>
      </c>
      <c r="B3" s="43"/>
      <c r="C3" s="43" t="s">
        <v>683</v>
      </c>
      <c r="D3" s="43" t="s">
        <v>1207</v>
      </c>
      <c r="E3" s="43" t="s">
        <v>662</v>
      </c>
      <c r="F3" s="14" t="s">
        <v>1212</v>
      </c>
      <c r="G3" s="44" t="s">
        <v>852</v>
      </c>
      <c r="H3" s="44" t="s">
        <v>665</v>
      </c>
      <c r="I3" s="45" t="s">
        <v>1213</v>
      </c>
      <c r="J3" s="46" t="s">
        <v>1214</v>
      </c>
      <c r="K3" s="6" t="s">
        <v>665</v>
      </c>
    </row>
    <row r="4" spans="1:11" x14ac:dyDescent="0.25">
      <c r="A4" s="43">
        <v>3</v>
      </c>
      <c r="B4" s="47" t="s">
        <v>1215</v>
      </c>
      <c r="C4" s="43" t="s">
        <v>683</v>
      </c>
      <c r="D4" s="43" t="s">
        <v>1207</v>
      </c>
      <c r="E4" s="43" t="s">
        <v>662</v>
      </c>
      <c r="F4" s="14" t="s">
        <v>1216</v>
      </c>
      <c r="G4" s="44" t="s">
        <v>10</v>
      </c>
      <c r="H4" s="44" t="s">
        <v>1217</v>
      </c>
      <c r="I4" s="45" t="s">
        <v>788</v>
      </c>
      <c r="J4" s="46" t="s">
        <v>1210</v>
      </c>
      <c r="K4" s="6" t="s">
        <v>1218</v>
      </c>
    </row>
    <row r="5" spans="1:11" x14ac:dyDescent="0.25">
      <c r="A5" s="43">
        <v>4</v>
      </c>
      <c r="B5" s="43"/>
      <c r="C5" s="43" t="s">
        <v>683</v>
      </c>
      <c r="D5" s="43" t="s">
        <v>1207</v>
      </c>
      <c r="E5" s="43" t="s">
        <v>662</v>
      </c>
      <c r="F5" s="14" t="s">
        <v>1219</v>
      </c>
      <c r="G5" s="44" t="s">
        <v>852</v>
      </c>
      <c r="H5" s="44" t="s">
        <v>1220</v>
      </c>
      <c r="I5" s="45" t="s">
        <v>788</v>
      </c>
      <c r="J5" s="46" t="s">
        <v>1210</v>
      </c>
      <c r="K5" s="6" t="s">
        <v>1221</v>
      </c>
    </row>
    <row r="6" spans="1:11" x14ac:dyDescent="0.25">
      <c r="A6" s="43">
        <v>5</v>
      </c>
      <c r="B6" s="43"/>
      <c r="C6" s="43" t="s">
        <v>683</v>
      </c>
      <c r="D6" s="43" t="s">
        <v>1207</v>
      </c>
      <c r="E6" s="43" t="s">
        <v>662</v>
      </c>
      <c r="F6" s="14" t="s">
        <v>1222</v>
      </c>
      <c r="G6" s="44" t="s">
        <v>852</v>
      </c>
      <c r="H6" s="44" t="s">
        <v>665</v>
      </c>
      <c r="I6" s="45" t="s">
        <v>1213</v>
      </c>
      <c r="J6" s="46" t="s">
        <v>1214</v>
      </c>
      <c r="K6" s="6" t="s">
        <v>665</v>
      </c>
    </row>
    <row r="7" spans="1:11" x14ac:dyDescent="0.25">
      <c r="A7" s="43">
        <v>6</v>
      </c>
      <c r="B7" s="43"/>
      <c r="C7" s="43" t="s">
        <v>683</v>
      </c>
      <c r="D7" s="43" t="s">
        <v>1207</v>
      </c>
      <c r="E7" s="43" t="s">
        <v>662</v>
      </c>
      <c r="F7" s="14" t="s">
        <v>1223</v>
      </c>
      <c r="G7" s="44" t="s">
        <v>125</v>
      </c>
      <c r="H7" s="44" t="s">
        <v>1224</v>
      </c>
      <c r="I7" s="45" t="s">
        <v>788</v>
      </c>
      <c r="J7" s="46" t="s">
        <v>1210</v>
      </c>
      <c r="K7" s="6" t="s">
        <v>665</v>
      </c>
    </row>
    <row r="8" spans="1:11" x14ac:dyDescent="0.25">
      <c r="A8" s="43">
        <v>7</v>
      </c>
      <c r="B8" s="43"/>
      <c r="C8" s="43" t="s">
        <v>683</v>
      </c>
      <c r="D8" s="43" t="s">
        <v>1225</v>
      </c>
      <c r="E8" s="43" t="s">
        <v>662</v>
      </c>
      <c r="F8" s="14" t="s">
        <v>1226</v>
      </c>
      <c r="G8" s="44" t="s">
        <v>10</v>
      </c>
      <c r="H8" s="44" t="s">
        <v>665</v>
      </c>
      <c r="I8" s="45" t="s">
        <v>788</v>
      </c>
      <c r="J8" s="46" t="s">
        <v>1227</v>
      </c>
      <c r="K8" s="6" t="s">
        <v>665</v>
      </c>
    </row>
    <row r="9" spans="1:11" x14ac:dyDescent="0.25">
      <c r="A9" s="43">
        <v>8</v>
      </c>
      <c r="B9" s="43"/>
      <c r="C9" s="43" t="s">
        <v>683</v>
      </c>
      <c r="D9" s="43" t="s">
        <v>1225</v>
      </c>
      <c r="E9" s="43" t="s">
        <v>662</v>
      </c>
      <c r="F9" s="14" t="s">
        <v>1228</v>
      </c>
      <c r="G9" s="44" t="s">
        <v>612</v>
      </c>
      <c r="H9" s="44" t="s">
        <v>1229</v>
      </c>
      <c r="I9" s="45" t="s">
        <v>1230</v>
      </c>
      <c r="J9" s="46" t="s">
        <v>1231</v>
      </c>
      <c r="K9" s="6" t="s">
        <v>1232</v>
      </c>
    </row>
    <row r="10" spans="1:11" x14ac:dyDescent="0.25">
      <c r="A10" s="43">
        <v>9</v>
      </c>
      <c r="B10" s="43" t="s">
        <v>1233</v>
      </c>
      <c r="C10" s="43" t="s">
        <v>683</v>
      </c>
      <c r="D10" s="43" t="s">
        <v>1207</v>
      </c>
      <c r="E10" s="43" t="s">
        <v>662</v>
      </c>
      <c r="F10" s="14" t="s">
        <v>1234</v>
      </c>
      <c r="G10" s="44" t="s">
        <v>17</v>
      </c>
      <c r="H10" s="44" t="s">
        <v>1235</v>
      </c>
      <c r="I10" s="45" t="s">
        <v>788</v>
      </c>
      <c r="J10" s="46" t="s">
        <v>1210</v>
      </c>
      <c r="K10" s="6" t="s">
        <v>665</v>
      </c>
    </row>
    <row r="11" spans="1:11" x14ac:dyDescent="0.25">
      <c r="A11" s="43">
        <v>10</v>
      </c>
      <c r="B11" s="43" t="s">
        <v>1236</v>
      </c>
      <c r="C11" s="43" t="s">
        <v>683</v>
      </c>
      <c r="D11" s="43" t="s">
        <v>1207</v>
      </c>
      <c r="E11" s="43" t="s">
        <v>662</v>
      </c>
      <c r="F11" s="14" t="s">
        <v>861</v>
      </c>
      <c r="G11" s="44" t="s">
        <v>860</v>
      </c>
      <c r="H11" s="44" t="s">
        <v>1237</v>
      </c>
      <c r="I11" s="45" t="s">
        <v>788</v>
      </c>
      <c r="J11" s="46" t="s">
        <v>1210</v>
      </c>
      <c r="K11" s="6" t="s">
        <v>1238</v>
      </c>
    </row>
    <row r="12" spans="1:11" x14ac:dyDescent="0.25">
      <c r="A12" s="43">
        <v>11</v>
      </c>
      <c r="B12" s="43" t="s">
        <v>1239</v>
      </c>
      <c r="C12" s="43" t="s">
        <v>683</v>
      </c>
      <c r="D12" s="43" t="s">
        <v>1225</v>
      </c>
      <c r="E12" s="43" t="s">
        <v>662</v>
      </c>
      <c r="F12" s="14" t="s">
        <v>696</v>
      </c>
      <c r="G12" s="44" t="s">
        <v>665</v>
      </c>
      <c r="H12" s="44" t="s">
        <v>1240</v>
      </c>
      <c r="I12" s="45" t="s">
        <v>1230</v>
      </c>
      <c r="J12" s="46" t="s">
        <v>1241</v>
      </c>
      <c r="K12" s="6" t="s">
        <v>665</v>
      </c>
    </row>
    <row r="13" spans="1:11" x14ac:dyDescent="0.25">
      <c r="A13" s="43">
        <v>12</v>
      </c>
      <c r="B13" s="47" t="s">
        <v>1242</v>
      </c>
      <c r="C13" s="43" t="s">
        <v>683</v>
      </c>
      <c r="D13" s="43" t="s">
        <v>1207</v>
      </c>
      <c r="E13" s="43" t="s">
        <v>662</v>
      </c>
      <c r="F13" s="14" t="s">
        <v>1243</v>
      </c>
      <c r="G13" s="44" t="s">
        <v>753</v>
      </c>
      <c r="H13" s="44" t="s">
        <v>1244</v>
      </c>
      <c r="I13" s="45" t="s">
        <v>1213</v>
      </c>
      <c r="J13" s="46" t="s">
        <v>1245</v>
      </c>
      <c r="K13" s="6" t="s">
        <v>665</v>
      </c>
    </row>
    <row r="14" spans="1:11" x14ac:dyDescent="0.25">
      <c r="A14" s="43">
        <v>13</v>
      </c>
      <c r="B14" s="43" t="s">
        <v>1246</v>
      </c>
      <c r="C14" s="43" t="s">
        <v>683</v>
      </c>
      <c r="D14" s="43" t="s">
        <v>1225</v>
      </c>
      <c r="E14" s="43" t="s">
        <v>662</v>
      </c>
      <c r="F14" s="14" t="s">
        <v>444</v>
      </c>
      <c r="G14" s="44" t="s">
        <v>445</v>
      </c>
      <c r="H14" s="44" t="s">
        <v>1247</v>
      </c>
      <c r="I14" s="45" t="s">
        <v>1213</v>
      </c>
      <c r="J14" s="46" t="s">
        <v>1248</v>
      </c>
      <c r="K14" s="6" t="s">
        <v>665</v>
      </c>
    </row>
    <row r="15" spans="1:11" x14ac:dyDescent="0.25">
      <c r="A15" s="43">
        <v>14</v>
      </c>
      <c r="B15" s="43"/>
      <c r="C15" s="43" t="s">
        <v>683</v>
      </c>
      <c r="D15" s="43" t="s">
        <v>1207</v>
      </c>
      <c r="E15" s="43" t="s">
        <v>662</v>
      </c>
      <c r="F15" s="14" t="s">
        <v>958</v>
      </c>
      <c r="G15" s="44" t="s">
        <v>131</v>
      </c>
      <c r="H15" s="44" t="s">
        <v>1249</v>
      </c>
      <c r="I15" s="45" t="s">
        <v>1213</v>
      </c>
      <c r="J15" s="46" t="s">
        <v>1245</v>
      </c>
      <c r="K15" s="6" t="s">
        <v>665</v>
      </c>
    </row>
    <row r="16" spans="1:11" x14ac:dyDescent="0.25">
      <c r="A16" s="43">
        <v>15</v>
      </c>
      <c r="B16" s="43"/>
      <c r="C16" s="43" t="s">
        <v>683</v>
      </c>
      <c r="D16" s="43" t="s">
        <v>1207</v>
      </c>
      <c r="E16" s="43" t="s">
        <v>662</v>
      </c>
      <c r="F16" s="14" t="s">
        <v>1039</v>
      </c>
      <c r="G16" s="44" t="s">
        <v>1250</v>
      </c>
      <c r="H16" s="44" t="s">
        <v>1251</v>
      </c>
      <c r="I16" s="45" t="s">
        <v>1252</v>
      </c>
      <c r="J16" s="46" t="s">
        <v>1253</v>
      </c>
      <c r="K16" s="6" t="s">
        <v>665</v>
      </c>
    </row>
    <row r="17" spans="1:11" x14ac:dyDescent="0.25">
      <c r="A17" s="43">
        <v>16</v>
      </c>
      <c r="B17" s="43" t="s">
        <v>1254</v>
      </c>
      <c r="C17" s="43" t="s">
        <v>683</v>
      </c>
      <c r="D17" s="43" t="s">
        <v>1207</v>
      </c>
      <c r="E17" s="43" t="s">
        <v>662</v>
      </c>
      <c r="F17" s="14" t="s">
        <v>1255</v>
      </c>
      <c r="G17" s="44" t="s">
        <v>1007</v>
      </c>
      <c r="H17" s="44" t="s">
        <v>1256</v>
      </c>
      <c r="I17" s="45" t="s">
        <v>788</v>
      </c>
      <c r="J17" s="46" t="s">
        <v>1210</v>
      </c>
      <c r="K17" s="6" t="s">
        <v>1257</v>
      </c>
    </row>
    <row r="18" spans="1:11" x14ac:dyDescent="0.25">
      <c r="A18" s="43">
        <v>17</v>
      </c>
      <c r="B18" s="43" t="s">
        <v>1258</v>
      </c>
      <c r="C18" s="43" t="s">
        <v>683</v>
      </c>
      <c r="D18" s="43" t="s">
        <v>1207</v>
      </c>
      <c r="E18" s="43" t="s">
        <v>662</v>
      </c>
      <c r="F18" s="14" t="s">
        <v>1216</v>
      </c>
      <c r="G18" s="44" t="s">
        <v>10</v>
      </c>
      <c r="H18" s="44" t="s">
        <v>1259</v>
      </c>
      <c r="I18" s="45" t="s">
        <v>788</v>
      </c>
      <c r="J18" s="46" t="s">
        <v>1260</v>
      </c>
      <c r="K18" s="6" t="s">
        <v>1261</v>
      </c>
    </row>
    <row r="19" spans="1:11" x14ac:dyDescent="0.25">
      <c r="A19" s="2">
        <v>18</v>
      </c>
      <c r="B19" s="2" t="s">
        <v>1262</v>
      </c>
      <c r="C19" s="2" t="s">
        <v>1263</v>
      </c>
      <c r="D19" s="2" t="s">
        <v>1225</v>
      </c>
      <c r="E19" s="2" t="s">
        <v>662</v>
      </c>
      <c r="F19" s="64" t="s">
        <v>611</v>
      </c>
      <c r="G19" s="2" t="s">
        <v>612</v>
      </c>
      <c r="I19" s="4" t="s">
        <v>1230</v>
      </c>
      <c r="J19" s="64" t="s">
        <v>1231</v>
      </c>
    </row>
  </sheetData>
  <conditionalFormatting sqref="A2:E18 G2:J18 A19:J1048576">
    <cfRule type="expression" dxfId="4" priority="4">
      <formula>$A2&lt;&gt;""</formula>
    </cfRule>
  </conditionalFormatting>
  <conditionalFormatting sqref="A1:J1">
    <cfRule type="expression" dxfId="3" priority="2">
      <formula>$A1&lt;&gt;""</formula>
    </cfRule>
  </conditionalFormatting>
  <pageMargins left="0.25" right="0.25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CADA-9DEE-4F53-A7C5-4F5DA2C69BC5}">
  <sheetPr>
    <pageSetUpPr fitToPage="1"/>
  </sheetPr>
  <dimension ref="A1:F14"/>
  <sheetViews>
    <sheetView workbookViewId="0">
      <selection activeCell="E7" sqref="E7"/>
    </sheetView>
  </sheetViews>
  <sheetFormatPr defaultRowHeight="15" x14ac:dyDescent="0.25"/>
  <cols>
    <col min="1" max="1" width="6" bestFit="1" customWidth="1"/>
    <col min="2" max="2" width="9.85546875" bestFit="1" customWidth="1"/>
    <col min="3" max="3" width="15.42578125" bestFit="1" customWidth="1"/>
    <col min="4" max="4" width="19" bestFit="1" customWidth="1"/>
    <col min="5" max="5" width="17.85546875" bestFit="1" customWidth="1"/>
    <col min="6" max="6" width="17.140625" bestFit="1" customWidth="1"/>
  </cols>
  <sheetData>
    <row r="1" spans="1:6" x14ac:dyDescent="0.25">
      <c r="A1" s="8" t="s">
        <v>640</v>
      </c>
      <c r="B1" s="8" t="s">
        <v>651</v>
      </c>
      <c r="C1" s="8" t="s">
        <v>1264</v>
      </c>
      <c r="D1" s="8" t="s">
        <v>1265</v>
      </c>
      <c r="E1" s="8" t="s">
        <v>1266</v>
      </c>
      <c r="F1" s="8" t="s">
        <v>642</v>
      </c>
    </row>
    <row r="2" spans="1:6" x14ac:dyDescent="0.25">
      <c r="A2" s="10">
        <v>1</v>
      </c>
      <c r="B2" s="6" t="s">
        <v>1267</v>
      </c>
      <c r="C2" s="6" t="s">
        <v>1267</v>
      </c>
      <c r="D2" s="6" t="s">
        <v>1268</v>
      </c>
      <c r="E2" s="6" t="s">
        <v>1269</v>
      </c>
      <c r="F2" s="6" t="s">
        <v>1270</v>
      </c>
    </row>
    <row r="3" spans="1:6" x14ac:dyDescent="0.25">
      <c r="A3" s="10">
        <v>2</v>
      </c>
      <c r="B3" s="10" t="s">
        <v>1271</v>
      </c>
      <c r="C3" s="6" t="s">
        <v>1272</v>
      </c>
      <c r="D3" s="6" t="s">
        <v>1273</v>
      </c>
      <c r="E3" s="6" t="s">
        <v>1274</v>
      </c>
      <c r="F3" s="6" t="s">
        <v>1275</v>
      </c>
    </row>
    <row r="4" spans="1:6" x14ac:dyDescent="0.25">
      <c r="A4" s="10">
        <v>3</v>
      </c>
      <c r="B4" s="10" t="s">
        <v>1271</v>
      </c>
      <c r="C4" s="6" t="s">
        <v>1276</v>
      </c>
      <c r="D4" s="6" t="s">
        <v>1277</v>
      </c>
      <c r="E4" s="6" t="s">
        <v>1278</v>
      </c>
      <c r="F4" s="6" t="s">
        <v>1153</v>
      </c>
    </row>
    <row r="5" spans="1:6" x14ac:dyDescent="0.25">
      <c r="A5" s="10">
        <v>4</v>
      </c>
      <c r="B5" s="10" t="s">
        <v>1279</v>
      </c>
      <c r="C5" s="6" t="s">
        <v>1280</v>
      </c>
      <c r="D5" s="34" t="s">
        <v>1281</v>
      </c>
      <c r="E5" s="6" t="s">
        <v>1282</v>
      </c>
      <c r="F5" s="6" t="s">
        <v>1159</v>
      </c>
    </row>
    <row r="6" spans="1:6" x14ac:dyDescent="0.25">
      <c r="A6" s="10">
        <v>5</v>
      </c>
      <c r="B6" s="10"/>
      <c r="C6" s="6"/>
      <c r="D6" s="6"/>
      <c r="E6" s="6"/>
      <c r="F6" s="6" t="s">
        <v>1283</v>
      </c>
    </row>
    <row r="7" spans="1:6" x14ac:dyDescent="0.25">
      <c r="A7" s="10">
        <v>6</v>
      </c>
      <c r="B7" s="10" t="s">
        <v>1279</v>
      </c>
      <c r="C7" s="6"/>
      <c r="D7" s="6"/>
      <c r="E7" s="6"/>
      <c r="F7" s="6" t="s">
        <v>1284</v>
      </c>
    </row>
    <row r="8" spans="1:6" x14ac:dyDescent="0.25">
      <c r="A8" s="7"/>
      <c r="B8" s="7"/>
      <c r="C8" s="7"/>
      <c r="D8" s="7"/>
      <c r="E8" s="7"/>
      <c r="F8" s="7"/>
    </row>
    <row r="10" spans="1:6" x14ac:dyDescent="0.25">
      <c r="A10" s="72" t="s">
        <v>1285</v>
      </c>
      <c r="B10" s="72"/>
      <c r="C10" s="72"/>
      <c r="D10" s="72"/>
      <c r="E10" s="72"/>
    </row>
    <row r="12" spans="1:6" x14ac:dyDescent="0.25">
      <c r="A12" s="8" t="s">
        <v>640</v>
      </c>
      <c r="B12" s="8"/>
      <c r="C12" s="8" t="s">
        <v>1264</v>
      </c>
      <c r="D12" s="8" t="s">
        <v>1265</v>
      </c>
      <c r="E12" s="8" t="s">
        <v>642</v>
      </c>
    </row>
    <row r="13" spans="1:6" x14ac:dyDescent="0.25">
      <c r="A13" s="9">
        <v>1</v>
      </c>
      <c r="B13" s="9"/>
      <c r="C13" s="5"/>
      <c r="D13" s="5"/>
      <c r="E13" s="5" t="s">
        <v>1286</v>
      </c>
    </row>
    <row r="14" spans="1:6" x14ac:dyDescent="0.25">
      <c r="A14" s="9">
        <v>2</v>
      </c>
      <c r="B14" s="9"/>
      <c r="C14" s="5"/>
      <c r="D14" s="5"/>
      <c r="E14" s="5" t="s">
        <v>1287</v>
      </c>
    </row>
  </sheetData>
  <mergeCells count="1">
    <mergeCell ref="A10:E10"/>
  </mergeCells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BED5-3369-479E-838B-F9F4365DBE4A}">
  <dimension ref="A1:I9"/>
  <sheetViews>
    <sheetView workbookViewId="0">
      <selection activeCell="F13" sqref="F13"/>
    </sheetView>
  </sheetViews>
  <sheetFormatPr defaultRowHeight="15" x14ac:dyDescent="0.25"/>
  <cols>
    <col min="1" max="1" width="6.5703125" bestFit="1" customWidth="1"/>
    <col min="3" max="3" width="8.7109375" bestFit="1" customWidth="1"/>
    <col min="4" max="4" width="19.85546875" bestFit="1" customWidth="1"/>
    <col min="5" max="5" width="8.5703125" bestFit="1" customWidth="1"/>
    <col min="6" max="6" width="19.5703125" bestFit="1" customWidth="1"/>
    <col min="7" max="7" width="10.140625" bestFit="1" customWidth="1"/>
    <col min="8" max="8" width="6.85546875" bestFit="1" customWidth="1"/>
    <col min="9" max="9" width="27" bestFit="1" customWidth="1"/>
  </cols>
  <sheetData>
    <row r="1" spans="1:9" ht="19.5" customHeight="1" x14ac:dyDescent="0.25">
      <c r="A1" s="1" t="s">
        <v>1202</v>
      </c>
      <c r="B1" s="1" t="s">
        <v>1203</v>
      </c>
      <c r="C1" s="1" t="s">
        <v>642</v>
      </c>
      <c r="D1" s="1" t="s">
        <v>643</v>
      </c>
      <c r="E1" s="1" t="s">
        <v>644</v>
      </c>
      <c r="F1" s="1" t="s">
        <v>2</v>
      </c>
      <c r="G1" s="1" t="s">
        <v>649</v>
      </c>
      <c r="H1" s="3" t="s">
        <v>651</v>
      </c>
      <c r="I1" s="1" t="s">
        <v>1205</v>
      </c>
    </row>
    <row r="2" spans="1:9" x14ac:dyDescent="0.25">
      <c r="A2" s="2">
        <v>1</v>
      </c>
      <c r="B2" s="2"/>
      <c r="C2" s="2" t="s">
        <v>683</v>
      </c>
      <c r="D2" s="2" t="s">
        <v>1288</v>
      </c>
      <c r="E2" s="2" t="s">
        <v>662</v>
      </c>
      <c r="F2" s="2" t="s">
        <v>859</v>
      </c>
      <c r="G2" s="2" t="s">
        <v>1289</v>
      </c>
      <c r="H2" s="4" t="s">
        <v>1213</v>
      </c>
      <c r="I2" s="2" t="s">
        <v>1290</v>
      </c>
    </row>
    <row r="3" spans="1:9" x14ac:dyDescent="0.25">
      <c r="A3" s="2">
        <v>2</v>
      </c>
      <c r="B3" s="2"/>
      <c r="C3" s="2" t="s">
        <v>683</v>
      </c>
      <c r="D3" s="2" t="s">
        <v>1288</v>
      </c>
      <c r="E3" s="2" t="s">
        <v>662</v>
      </c>
      <c r="F3" s="2" t="s">
        <v>1291</v>
      </c>
      <c r="G3" s="2" t="s">
        <v>1292</v>
      </c>
      <c r="H3" s="4" t="s">
        <v>1213</v>
      </c>
      <c r="I3" s="2" t="s">
        <v>1293</v>
      </c>
    </row>
    <row r="4" spans="1:9" x14ac:dyDescent="0.25">
      <c r="A4" s="2">
        <v>3</v>
      </c>
      <c r="B4" s="2"/>
      <c r="C4" s="2" t="s">
        <v>683</v>
      </c>
      <c r="D4" s="2" t="s">
        <v>1288</v>
      </c>
      <c r="E4" s="2" t="s">
        <v>662</v>
      </c>
      <c r="F4" s="2" t="s">
        <v>1294</v>
      </c>
      <c r="G4" s="2" t="s">
        <v>1295</v>
      </c>
      <c r="H4" s="4" t="s">
        <v>1213</v>
      </c>
      <c r="I4" s="2" t="s">
        <v>1293</v>
      </c>
    </row>
    <row r="5" spans="1:9" x14ac:dyDescent="0.25">
      <c r="A5" s="2">
        <v>4</v>
      </c>
      <c r="B5" s="2"/>
      <c r="C5" s="2" t="s">
        <v>683</v>
      </c>
      <c r="D5" s="2" t="s">
        <v>1288</v>
      </c>
      <c r="E5" s="2" t="s">
        <v>662</v>
      </c>
      <c r="F5" s="2" t="s">
        <v>1296</v>
      </c>
      <c r="G5" s="2" t="s">
        <v>1297</v>
      </c>
      <c r="H5" s="4" t="s">
        <v>1213</v>
      </c>
      <c r="I5" s="2" t="s">
        <v>1293</v>
      </c>
    </row>
    <row r="6" spans="1:9" x14ac:dyDescent="0.25">
      <c r="A6" s="2"/>
      <c r="B6" s="2"/>
      <c r="C6" s="2"/>
      <c r="D6" s="2"/>
      <c r="E6" s="2"/>
      <c r="F6" s="2"/>
      <c r="G6" s="2"/>
      <c r="H6" s="4"/>
      <c r="I6" s="2"/>
    </row>
    <row r="7" spans="1:9" x14ac:dyDescent="0.25">
      <c r="A7" s="2"/>
      <c r="B7" s="2"/>
      <c r="C7" s="2"/>
      <c r="D7" s="2"/>
      <c r="E7" s="2"/>
      <c r="F7" s="2"/>
      <c r="G7" s="2"/>
      <c r="H7" s="4"/>
      <c r="I7" s="2"/>
    </row>
    <row r="8" spans="1:9" x14ac:dyDescent="0.25">
      <c r="A8" s="2"/>
      <c r="B8" s="2"/>
      <c r="C8" s="2"/>
      <c r="D8" s="2"/>
      <c r="E8" s="2"/>
      <c r="F8" s="2"/>
      <c r="G8" s="2"/>
      <c r="H8" s="4"/>
      <c r="I8" s="2"/>
    </row>
    <row r="9" spans="1:9" x14ac:dyDescent="0.25">
      <c r="A9" s="2"/>
      <c r="B9" s="2"/>
      <c r="C9" s="2"/>
      <c r="D9" s="2"/>
      <c r="E9" s="2"/>
      <c r="F9" s="2"/>
      <c r="G9" s="2"/>
      <c r="H9" s="4"/>
      <c r="I9" s="2"/>
    </row>
  </sheetData>
  <conditionalFormatting sqref="A1:I1048576">
    <cfRule type="expression" dxfId="2" priority="1">
      <formula>$A1&lt;&gt;""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C8D5-3D9C-466D-96A4-5574BFE2098E}">
  <dimension ref="A1:K53"/>
  <sheetViews>
    <sheetView workbookViewId="0">
      <selection activeCell="G2" sqref="G2"/>
    </sheetView>
  </sheetViews>
  <sheetFormatPr defaultRowHeight="15" x14ac:dyDescent="0.25"/>
  <cols>
    <col min="3" max="3" width="12.5703125" bestFit="1" customWidth="1"/>
    <col min="4" max="4" width="16.140625" customWidth="1"/>
    <col min="5" max="5" width="14" bestFit="1" customWidth="1"/>
    <col min="6" max="6" width="13.85546875" customWidth="1"/>
    <col min="8" max="8" width="20.140625" customWidth="1"/>
  </cols>
  <sheetData>
    <row r="1" spans="1:11" x14ac:dyDescent="0.25">
      <c r="A1" s="1" t="s">
        <v>1202</v>
      </c>
      <c r="B1" s="1" t="s">
        <v>642</v>
      </c>
      <c r="C1" s="48" t="s">
        <v>1206</v>
      </c>
      <c r="D1" s="1" t="s">
        <v>1298</v>
      </c>
      <c r="E1" s="1" t="s">
        <v>1299</v>
      </c>
      <c r="F1" s="1" t="s">
        <v>643</v>
      </c>
      <c r="G1" s="1" t="s">
        <v>644</v>
      </c>
      <c r="H1" s="1" t="s">
        <v>2</v>
      </c>
      <c r="I1" s="1" t="s">
        <v>649</v>
      </c>
      <c r="J1" s="1" t="s">
        <v>651</v>
      </c>
      <c r="K1" s="1" t="s">
        <v>1205</v>
      </c>
    </row>
    <row r="2" spans="1:11" x14ac:dyDescent="0.25">
      <c r="A2" s="5">
        <v>1</v>
      </c>
      <c r="C2" s="50" t="s">
        <v>1300</v>
      </c>
      <c r="D2" s="29" t="s">
        <v>1301</v>
      </c>
      <c r="E2" s="5" t="s">
        <v>1302</v>
      </c>
      <c r="F2" s="5" t="s">
        <v>1303</v>
      </c>
      <c r="G2" s="5"/>
      <c r="H2" s="5"/>
      <c r="I2" s="5"/>
      <c r="J2" s="5"/>
      <c r="K2" s="5"/>
    </row>
    <row r="3" spans="1:11" x14ac:dyDescent="0.25">
      <c r="A3" s="5">
        <v>2</v>
      </c>
      <c r="B3" t="s">
        <v>1304</v>
      </c>
      <c r="C3" s="50" t="s">
        <v>1305</v>
      </c>
      <c r="D3" s="29" t="s">
        <v>1301</v>
      </c>
      <c r="E3" s="5" t="s">
        <v>1306</v>
      </c>
      <c r="F3" s="5" t="s">
        <v>1307</v>
      </c>
      <c r="G3" s="5"/>
      <c r="H3" s="5"/>
      <c r="I3" s="5"/>
      <c r="J3" s="5"/>
      <c r="K3" s="5"/>
    </row>
    <row r="4" spans="1:11" x14ac:dyDescent="0.25">
      <c r="A4" s="5">
        <v>3</v>
      </c>
      <c r="C4" s="50" t="s">
        <v>1308</v>
      </c>
      <c r="D4" s="29" t="s">
        <v>1301</v>
      </c>
      <c r="E4" s="5" t="s">
        <v>1302</v>
      </c>
      <c r="F4" s="5" t="s">
        <v>1303</v>
      </c>
      <c r="G4" s="5"/>
      <c r="H4" s="5"/>
      <c r="I4" s="5"/>
      <c r="J4" s="5"/>
      <c r="K4" s="5"/>
    </row>
    <row r="5" spans="1:11" x14ac:dyDescent="0.25">
      <c r="A5" s="5">
        <v>4</v>
      </c>
      <c r="C5" s="50" t="s">
        <v>1309</v>
      </c>
      <c r="D5" s="29" t="s">
        <v>1301</v>
      </c>
      <c r="E5" s="5" t="s">
        <v>1302</v>
      </c>
      <c r="F5" s="5" t="s">
        <v>1303</v>
      </c>
      <c r="G5" s="5"/>
      <c r="H5" s="5"/>
      <c r="I5" s="5"/>
      <c r="J5" s="5"/>
      <c r="K5" s="5"/>
    </row>
    <row r="6" spans="1:11" x14ac:dyDescent="0.25">
      <c r="A6" s="5">
        <v>5</v>
      </c>
      <c r="C6" s="50" t="s">
        <v>1310</v>
      </c>
      <c r="D6" s="29" t="s">
        <v>1301</v>
      </c>
      <c r="E6" s="5" t="s">
        <v>1302</v>
      </c>
      <c r="F6" s="5" t="s">
        <v>1303</v>
      </c>
      <c r="G6" s="5"/>
      <c r="H6" s="5"/>
      <c r="I6" s="5"/>
      <c r="J6" s="5"/>
      <c r="K6" s="5"/>
    </row>
    <row r="7" spans="1:11" x14ac:dyDescent="0.25">
      <c r="A7" s="5">
        <v>6</v>
      </c>
      <c r="C7" s="50" t="s">
        <v>1311</v>
      </c>
      <c r="D7" s="29" t="s">
        <v>1301</v>
      </c>
      <c r="E7" s="5" t="s">
        <v>1302</v>
      </c>
      <c r="F7" s="5" t="s">
        <v>1303</v>
      </c>
      <c r="G7" s="5"/>
      <c r="H7" s="5"/>
      <c r="I7" s="5"/>
      <c r="J7" s="5"/>
      <c r="K7" s="5"/>
    </row>
    <row r="8" spans="1:11" x14ac:dyDescent="0.25">
      <c r="A8" s="5">
        <v>7</v>
      </c>
      <c r="C8" s="50" t="s">
        <v>1312</v>
      </c>
      <c r="D8" s="29" t="s">
        <v>1301</v>
      </c>
      <c r="E8" s="5" t="s">
        <v>1302</v>
      </c>
      <c r="F8" s="5" t="s">
        <v>1303</v>
      </c>
      <c r="G8" s="5"/>
      <c r="H8" s="5"/>
      <c r="I8" s="5"/>
      <c r="J8" s="5"/>
      <c r="K8" s="5"/>
    </row>
    <row r="9" spans="1:11" x14ac:dyDescent="0.25">
      <c r="A9" s="5">
        <v>8</v>
      </c>
      <c r="C9" s="50" t="s">
        <v>1313</v>
      </c>
      <c r="D9" s="29" t="s">
        <v>1301</v>
      </c>
      <c r="E9" s="5" t="s">
        <v>1302</v>
      </c>
      <c r="F9" s="5" t="s">
        <v>1303</v>
      </c>
      <c r="G9" s="5"/>
      <c r="H9" s="5"/>
      <c r="I9" s="5"/>
      <c r="J9" s="5"/>
      <c r="K9" s="5"/>
    </row>
    <row r="10" spans="1:11" x14ac:dyDescent="0.25">
      <c r="A10" s="5">
        <v>9</v>
      </c>
      <c r="C10" s="50" t="s">
        <v>1314</v>
      </c>
      <c r="D10" s="29" t="s">
        <v>1301</v>
      </c>
      <c r="E10" s="5" t="s">
        <v>1302</v>
      </c>
      <c r="F10" s="5" t="s">
        <v>1303</v>
      </c>
      <c r="G10" s="5"/>
      <c r="H10" s="5"/>
      <c r="I10" s="5"/>
      <c r="J10" s="5"/>
      <c r="K10" s="5"/>
    </row>
    <row r="11" spans="1:11" x14ac:dyDescent="0.25">
      <c r="A11" s="5">
        <v>10</v>
      </c>
      <c r="C11" s="50" t="s">
        <v>1315</v>
      </c>
      <c r="D11" s="29" t="s">
        <v>1301</v>
      </c>
      <c r="E11" s="5" t="s">
        <v>1302</v>
      </c>
      <c r="F11" s="5" t="s">
        <v>1303</v>
      </c>
      <c r="G11" s="5"/>
      <c r="H11" s="5"/>
      <c r="I11" s="5"/>
      <c r="J11" s="5"/>
      <c r="K11" s="5"/>
    </row>
    <row r="12" spans="1:11" x14ac:dyDescent="0.25">
      <c r="A12" s="5">
        <v>11</v>
      </c>
      <c r="C12" s="50" t="s">
        <v>1316</v>
      </c>
      <c r="D12" s="29" t="s">
        <v>1301</v>
      </c>
      <c r="E12" s="5" t="s">
        <v>1302</v>
      </c>
      <c r="F12" s="5" t="s">
        <v>1303</v>
      </c>
      <c r="G12" s="5"/>
      <c r="H12" s="5"/>
      <c r="I12" s="5"/>
      <c r="J12" s="5"/>
      <c r="K12" s="5"/>
    </row>
    <row r="13" spans="1:11" x14ac:dyDescent="0.25">
      <c r="A13" s="5">
        <v>12</v>
      </c>
      <c r="C13" s="50" t="s">
        <v>1317</v>
      </c>
      <c r="D13" s="29" t="s">
        <v>1301</v>
      </c>
      <c r="E13" s="5" t="s">
        <v>1302</v>
      </c>
      <c r="F13" s="5" t="s">
        <v>1303</v>
      </c>
      <c r="G13" s="5"/>
      <c r="H13" s="5"/>
      <c r="I13" s="5"/>
      <c r="J13" s="5"/>
      <c r="K13" s="5"/>
    </row>
    <row r="14" spans="1:11" x14ac:dyDescent="0.25">
      <c r="A14" s="5">
        <v>13</v>
      </c>
      <c r="C14" s="50" t="s">
        <v>1318</v>
      </c>
      <c r="D14" s="29" t="s">
        <v>1301</v>
      </c>
      <c r="E14" s="5" t="s">
        <v>1302</v>
      </c>
      <c r="F14" s="5" t="s">
        <v>1303</v>
      </c>
      <c r="G14" s="5"/>
      <c r="H14" s="5"/>
      <c r="I14" s="5"/>
      <c r="J14" s="5"/>
      <c r="K14" s="5"/>
    </row>
    <row r="15" spans="1:11" x14ac:dyDescent="0.25">
      <c r="A15" s="5">
        <v>14</v>
      </c>
      <c r="C15" s="50" t="s">
        <v>1319</v>
      </c>
      <c r="D15" s="29" t="s">
        <v>1301</v>
      </c>
      <c r="E15" s="5" t="s">
        <v>1302</v>
      </c>
      <c r="F15" s="5" t="s">
        <v>1303</v>
      </c>
      <c r="G15" s="5"/>
      <c r="H15" s="5"/>
      <c r="I15" s="5"/>
      <c r="J15" s="5"/>
      <c r="K15" s="5"/>
    </row>
    <row r="16" spans="1:11" x14ac:dyDescent="0.25">
      <c r="A16" s="5">
        <v>15</v>
      </c>
      <c r="C16" s="50" t="s">
        <v>1320</v>
      </c>
      <c r="D16" s="29" t="s">
        <v>1301</v>
      </c>
      <c r="E16" s="5" t="s">
        <v>1302</v>
      </c>
      <c r="F16" s="5" t="s">
        <v>1303</v>
      </c>
      <c r="G16" s="5"/>
      <c r="H16" s="5"/>
      <c r="I16" s="5"/>
      <c r="J16" s="5"/>
      <c r="K16" s="5"/>
    </row>
    <row r="17" spans="1:11" x14ac:dyDescent="0.25">
      <c r="A17" s="5">
        <v>16</v>
      </c>
      <c r="C17" s="50" t="s">
        <v>1321</v>
      </c>
      <c r="D17" s="29" t="s">
        <v>1301</v>
      </c>
      <c r="E17" s="5" t="s">
        <v>1302</v>
      </c>
      <c r="F17" s="5" t="s">
        <v>1303</v>
      </c>
      <c r="G17" s="5"/>
      <c r="H17" s="5"/>
      <c r="I17" s="5"/>
      <c r="J17" s="5"/>
      <c r="K17" s="5"/>
    </row>
    <row r="18" spans="1:11" x14ac:dyDescent="0.25">
      <c r="A18" s="5">
        <v>17</v>
      </c>
      <c r="C18" s="50" t="s">
        <v>1322</v>
      </c>
      <c r="D18" s="29" t="s">
        <v>1301</v>
      </c>
      <c r="E18" s="5" t="s">
        <v>1302</v>
      </c>
      <c r="F18" s="5" t="s">
        <v>1303</v>
      </c>
      <c r="G18" s="5"/>
      <c r="H18" s="5"/>
      <c r="I18" s="5"/>
      <c r="J18" s="5"/>
      <c r="K18" s="5"/>
    </row>
    <row r="19" spans="1:11" x14ac:dyDescent="0.25">
      <c r="A19" s="5">
        <v>18</v>
      </c>
      <c r="C19" s="50" t="s">
        <v>1323</v>
      </c>
      <c r="D19" s="29" t="s">
        <v>1301</v>
      </c>
      <c r="E19" s="5" t="s">
        <v>1302</v>
      </c>
      <c r="F19" s="5" t="s">
        <v>1303</v>
      </c>
      <c r="G19" s="5"/>
      <c r="H19" s="5"/>
      <c r="I19" s="5"/>
      <c r="J19" s="5"/>
      <c r="K19" s="5"/>
    </row>
    <row r="20" spans="1:11" x14ac:dyDescent="0.25">
      <c r="A20" s="5">
        <v>19</v>
      </c>
      <c r="C20" s="50" t="s">
        <v>1324</v>
      </c>
      <c r="D20" s="29" t="s">
        <v>1301</v>
      </c>
      <c r="E20" s="5" t="s">
        <v>1302</v>
      </c>
      <c r="F20" s="5" t="s">
        <v>1303</v>
      </c>
      <c r="G20" s="5"/>
      <c r="H20" s="5"/>
      <c r="I20" s="5"/>
      <c r="J20" s="5"/>
      <c r="K20" s="5"/>
    </row>
    <row r="21" spans="1:11" x14ac:dyDescent="0.25">
      <c r="A21" s="5">
        <v>20</v>
      </c>
      <c r="B21" t="s">
        <v>1167</v>
      </c>
      <c r="C21" s="50" t="s">
        <v>1325</v>
      </c>
      <c r="D21" s="29" t="s">
        <v>1301</v>
      </c>
      <c r="E21" s="5" t="s">
        <v>1306</v>
      </c>
      <c r="F21" s="5" t="s">
        <v>1307</v>
      </c>
      <c r="G21" s="5"/>
      <c r="H21" s="5"/>
      <c r="I21" s="5"/>
      <c r="J21" s="5"/>
      <c r="K21" s="5"/>
    </row>
    <row r="22" spans="1:11" x14ac:dyDescent="0.25">
      <c r="A22" s="5">
        <v>21</v>
      </c>
      <c r="C22" s="50" t="s">
        <v>1326</v>
      </c>
      <c r="D22" s="29" t="s">
        <v>1301</v>
      </c>
      <c r="E22" s="5" t="s">
        <v>1302</v>
      </c>
      <c r="F22" s="5" t="s">
        <v>1303</v>
      </c>
      <c r="G22" s="5"/>
      <c r="H22" s="5"/>
      <c r="I22" s="5"/>
      <c r="J22" s="5"/>
      <c r="K22" s="5"/>
    </row>
    <row r="23" spans="1:11" x14ac:dyDescent="0.25">
      <c r="A23" s="5">
        <v>22</v>
      </c>
      <c r="C23" s="50" t="s">
        <v>1327</v>
      </c>
      <c r="D23" s="29" t="s">
        <v>1301</v>
      </c>
      <c r="E23" s="5" t="s">
        <v>1302</v>
      </c>
      <c r="F23" s="5" t="s">
        <v>1303</v>
      </c>
      <c r="G23" s="5"/>
      <c r="H23" s="5"/>
      <c r="I23" s="5"/>
      <c r="J23" s="5"/>
      <c r="K23" s="5"/>
    </row>
    <row r="24" spans="1:11" x14ac:dyDescent="0.25">
      <c r="A24" s="5">
        <v>23</v>
      </c>
      <c r="C24" s="50" t="s">
        <v>1328</v>
      </c>
      <c r="D24" s="29" t="s">
        <v>1301</v>
      </c>
      <c r="E24" s="5" t="s">
        <v>1302</v>
      </c>
      <c r="F24" s="5" t="s">
        <v>1303</v>
      </c>
      <c r="G24" s="5"/>
      <c r="H24" s="5"/>
      <c r="I24" s="5"/>
      <c r="J24" s="5"/>
      <c r="K24" s="5"/>
    </row>
    <row r="25" spans="1:11" x14ac:dyDescent="0.25">
      <c r="A25" s="5">
        <v>24</v>
      </c>
      <c r="C25" s="50" t="s">
        <v>1329</v>
      </c>
      <c r="D25" s="29" t="s">
        <v>1301</v>
      </c>
      <c r="E25" s="5" t="s">
        <v>1302</v>
      </c>
      <c r="F25" s="5" t="s">
        <v>1303</v>
      </c>
      <c r="G25" s="5"/>
      <c r="H25" s="5"/>
      <c r="I25" s="5"/>
      <c r="J25" s="5"/>
      <c r="K25" s="5"/>
    </row>
    <row r="26" spans="1:11" x14ac:dyDescent="0.25">
      <c r="A26" s="5">
        <v>25</v>
      </c>
      <c r="C26" s="50" t="s">
        <v>1330</v>
      </c>
      <c r="D26" s="29" t="s">
        <v>1301</v>
      </c>
      <c r="E26" s="5" t="s">
        <v>1302</v>
      </c>
      <c r="F26" s="5" t="s">
        <v>1303</v>
      </c>
      <c r="G26" s="5"/>
      <c r="H26" s="5"/>
      <c r="I26" s="5"/>
      <c r="J26" s="5"/>
      <c r="K26" s="5"/>
    </row>
    <row r="27" spans="1:11" x14ac:dyDescent="0.25">
      <c r="A27" s="5">
        <v>26</v>
      </c>
      <c r="C27" s="50" t="s">
        <v>1331</v>
      </c>
      <c r="D27" s="29" t="s">
        <v>1301</v>
      </c>
      <c r="E27" s="5" t="s">
        <v>1302</v>
      </c>
      <c r="F27" s="5" t="s">
        <v>1303</v>
      </c>
      <c r="G27" s="5"/>
      <c r="H27" s="5"/>
      <c r="I27" s="5"/>
      <c r="J27" s="5"/>
      <c r="K27" s="5"/>
    </row>
    <row r="28" spans="1:11" x14ac:dyDescent="0.25">
      <c r="A28" s="5">
        <v>27</v>
      </c>
      <c r="C28" s="50" t="s">
        <v>1332</v>
      </c>
      <c r="D28" s="29" t="s">
        <v>1301</v>
      </c>
      <c r="E28" s="5" t="s">
        <v>1302</v>
      </c>
      <c r="F28" s="5" t="s">
        <v>1303</v>
      </c>
      <c r="G28" s="5"/>
      <c r="H28" s="5"/>
      <c r="I28" s="5"/>
      <c r="J28" s="5"/>
      <c r="K28" s="5"/>
    </row>
    <row r="29" spans="1:11" x14ac:dyDescent="0.25">
      <c r="A29" s="5">
        <v>28</v>
      </c>
      <c r="B29" t="s">
        <v>1156</v>
      </c>
      <c r="C29" s="50" t="s">
        <v>1333</v>
      </c>
      <c r="D29" s="29" t="s">
        <v>1301</v>
      </c>
      <c r="E29" s="5" t="s">
        <v>1306</v>
      </c>
      <c r="F29" s="5" t="s">
        <v>1307</v>
      </c>
      <c r="G29" s="5"/>
      <c r="H29" s="5"/>
      <c r="I29" s="5"/>
      <c r="J29" s="5"/>
      <c r="K29" s="5"/>
    </row>
    <row r="30" spans="1:11" x14ac:dyDescent="0.25">
      <c r="A30" s="5">
        <v>29</v>
      </c>
      <c r="C30" s="50" t="s">
        <v>1334</v>
      </c>
      <c r="D30" s="29" t="s">
        <v>1301</v>
      </c>
      <c r="E30" s="5" t="s">
        <v>1302</v>
      </c>
      <c r="F30" s="5" t="s">
        <v>1303</v>
      </c>
      <c r="G30" s="5"/>
      <c r="H30" s="5"/>
      <c r="I30" s="5"/>
      <c r="J30" s="5"/>
      <c r="K30" s="5"/>
    </row>
    <row r="31" spans="1:11" x14ac:dyDescent="0.25">
      <c r="A31" s="5">
        <v>30</v>
      </c>
      <c r="C31" s="50" t="s">
        <v>1335</v>
      </c>
      <c r="D31" s="29" t="s">
        <v>1301</v>
      </c>
      <c r="E31" s="5" t="s">
        <v>1302</v>
      </c>
      <c r="F31" s="5" t="s">
        <v>1303</v>
      </c>
      <c r="G31" s="5"/>
      <c r="H31" s="5"/>
      <c r="I31" s="5"/>
      <c r="J31" s="5"/>
      <c r="K31" s="5"/>
    </row>
    <row r="32" spans="1:11" x14ac:dyDescent="0.25">
      <c r="A32" s="5">
        <v>31</v>
      </c>
      <c r="C32" s="50" t="s">
        <v>1336</v>
      </c>
      <c r="D32" s="29" t="s">
        <v>1301</v>
      </c>
      <c r="E32" s="5" t="s">
        <v>1302</v>
      </c>
      <c r="F32" s="5" t="s">
        <v>1303</v>
      </c>
      <c r="G32" s="5"/>
      <c r="H32" s="5"/>
      <c r="I32" s="5"/>
      <c r="J32" s="5"/>
      <c r="K32" s="5"/>
    </row>
    <row r="33" spans="1:11" x14ac:dyDescent="0.25">
      <c r="A33" s="5">
        <v>32</v>
      </c>
      <c r="C33" s="50" t="s">
        <v>1337</v>
      </c>
      <c r="D33" s="29" t="s">
        <v>1301</v>
      </c>
      <c r="E33" s="5" t="s">
        <v>1302</v>
      </c>
      <c r="F33" s="5" t="s">
        <v>1303</v>
      </c>
      <c r="G33" s="5"/>
      <c r="H33" s="5"/>
      <c r="I33" s="5"/>
      <c r="J33" s="5"/>
      <c r="K33" s="5"/>
    </row>
    <row r="34" spans="1:11" x14ac:dyDescent="0.25">
      <c r="A34" s="5">
        <v>33</v>
      </c>
      <c r="C34" s="50" t="s">
        <v>1338</v>
      </c>
      <c r="D34" s="29" t="s">
        <v>1301</v>
      </c>
      <c r="E34" s="5" t="s">
        <v>1302</v>
      </c>
      <c r="F34" s="5" t="s">
        <v>1303</v>
      </c>
      <c r="G34" s="5"/>
      <c r="H34" s="5"/>
      <c r="I34" s="5"/>
      <c r="J34" s="5"/>
      <c r="K34" s="5"/>
    </row>
    <row r="35" spans="1:11" x14ac:dyDescent="0.25">
      <c r="A35" s="5">
        <v>34</v>
      </c>
      <c r="C35" s="50" t="s">
        <v>1339</v>
      </c>
      <c r="D35" s="29" t="s">
        <v>1301</v>
      </c>
      <c r="E35" s="5" t="s">
        <v>1302</v>
      </c>
      <c r="F35" s="5" t="s">
        <v>1303</v>
      </c>
      <c r="G35" s="5"/>
      <c r="H35" s="5"/>
      <c r="I35" s="5"/>
      <c r="J35" s="5"/>
      <c r="K35" s="5"/>
    </row>
    <row r="36" spans="1:11" x14ac:dyDescent="0.25">
      <c r="A36" s="5">
        <v>35</v>
      </c>
      <c r="C36" s="50" t="s">
        <v>1340</v>
      </c>
      <c r="D36" s="29" t="s">
        <v>1301</v>
      </c>
      <c r="E36" s="5" t="s">
        <v>1302</v>
      </c>
      <c r="F36" s="5" t="s">
        <v>1303</v>
      </c>
      <c r="G36" s="5"/>
      <c r="H36" s="5"/>
      <c r="I36" s="5"/>
      <c r="J36" s="5"/>
      <c r="K36" s="5"/>
    </row>
    <row r="37" spans="1:11" x14ac:dyDescent="0.25">
      <c r="A37" s="5">
        <v>36</v>
      </c>
      <c r="C37" s="50" t="s">
        <v>1341</v>
      </c>
      <c r="D37" s="29" t="s">
        <v>1301</v>
      </c>
      <c r="E37" s="5" t="s">
        <v>1302</v>
      </c>
      <c r="F37" s="5" t="s">
        <v>1303</v>
      </c>
      <c r="G37" s="5"/>
      <c r="H37" s="5"/>
      <c r="I37" s="5"/>
      <c r="J37" s="5"/>
      <c r="K37" s="5"/>
    </row>
    <row r="38" spans="1:11" x14ac:dyDescent="0.25">
      <c r="A38" s="5">
        <v>37</v>
      </c>
      <c r="C38" s="50" t="s">
        <v>1342</v>
      </c>
      <c r="D38" s="29" t="s">
        <v>1301</v>
      </c>
      <c r="E38" s="5" t="s">
        <v>1302</v>
      </c>
      <c r="F38" s="5" t="s">
        <v>1303</v>
      </c>
      <c r="G38" s="5"/>
      <c r="H38" s="5"/>
      <c r="I38" s="5"/>
      <c r="J38" s="5"/>
      <c r="K38" s="5"/>
    </row>
    <row r="39" spans="1:11" x14ac:dyDescent="0.25">
      <c r="A39" s="5">
        <v>38</v>
      </c>
      <c r="C39" s="50" t="s">
        <v>1343</v>
      </c>
      <c r="D39" s="29" t="s">
        <v>1301</v>
      </c>
      <c r="E39" s="5" t="s">
        <v>1302</v>
      </c>
      <c r="F39" s="5" t="s">
        <v>1303</v>
      </c>
      <c r="G39" s="5"/>
      <c r="H39" s="5"/>
      <c r="I39" s="5"/>
      <c r="J39" s="5"/>
      <c r="K39" s="5"/>
    </row>
    <row r="40" spans="1:11" x14ac:dyDescent="0.25">
      <c r="A40" s="5">
        <v>39</v>
      </c>
      <c r="C40" s="50" t="s">
        <v>1344</v>
      </c>
      <c r="D40" s="29" t="s">
        <v>1301</v>
      </c>
      <c r="E40" s="5" t="s">
        <v>1302</v>
      </c>
      <c r="F40" s="5" t="s">
        <v>1303</v>
      </c>
      <c r="G40" s="5"/>
      <c r="H40" s="5"/>
      <c r="I40" s="5"/>
      <c r="J40" s="5"/>
      <c r="K40" s="5"/>
    </row>
    <row r="41" spans="1:11" x14ac:dyDescent="0.25">
      <c r="A41" s="5">
        <v>40</v>
      </c>
      <c r="C41" s="50" t="s">
        <v>1345</v>
      </c>
      <c r="D41" s="29" t="s">
        <v>1301</v>
      </c>
      <c r="E41" s="5" t="s">
        <v>1302</v>
      </c>
      <c r="F41" s="5" t="s">
        <v>1303</v>
      </c>
      <c r="G41" s="5"/>
      <c r="H41" s="5"/>
      <c r="I41" s="5"/>
      <c r="J41" s="5"/>
      <c r="K41" s="5"/>
    </row>
    <row r="42" spans="1:11" x14ac:dyDescent="0.25">
      <c r="A42" s="5">
        <v>41</v>
      </c>
      <c r="C42" s="50" t="s">
        <v>1346</v>
      </c>
      <c r="D42" s="29" t="s">
        <v>1301</v>
      </c>
      <c r="E42" s="5" t="s">
        <v>1302</v>
      </c>
      <c r="F42" s="5" t="s">
        <v>1303</v>
      </c>
      <c r="G42" s="5"/>
      <c r="H42" s="5"/>
      <c r="I42" s="5"/>
      <c r="J42" s="5"/>
      <c r="K42" s="5"/>
    </row>
    <row r="43" spans="1:11" x14ac:dyDescent="0.25">
      <c r="A43" s="5">
        <v>42</v>
      </c>
      <c r="C43" s="50" t="s">
        <v>1347</v>
      </c>
      <c r="D43" s="29" t="s">
        <v>1301</v>
      </c>
      <c r="E43" s="5" t="s">
        <v>1302</v>
      </c>
      <c r="F43" s="5" t="s">
        <v>1303</v>
      </c>
      <c r="G43" s="5"/>
      <c r="H43" s="5"/>
      <c r="I43" s="5"/>
      <c r="J43" s="5"/>
      <c r="K43" s="5"/>
    </row>
    <row r="44" spans="1:11" x14ac:dyDescent="0.25">
      <c r="A44" s="5">
        <v>43</v>
      </c>
      <c r="C44" s="50" t="s">
        <v>1348</v>
      </c>
      <c r="D44" s="29" t="s">
        <v>1301</v>
      </c>
      <c r="E44" s="5" t="s">
        <v>1302</v>
      </c>
      <c r="F44" s="5" t="s">
        <v>1303</v>
      </c>
      <c r="G44" s="5"/>
      <c r="H44" s="5"/>
      <c r="I44" s="5"/>
      <c r="J44" s="5"/>
      <c r="K44" s="5"/>
    </row>
    <row r="45" spans="1:11" x14ac:dyDescent="0.25">
      <c r="A45" s="5">
        <v>44</v>
      </c>
      <c r="C45" s="50" t="s">
        <v>1349</v>
      </c>
      <c r="D45" s="29" t="s">
        <v>1301</v>
      </c>
      <c r="E45" s="5" t="s">
        <v>1302</v>
      </c>
      <c r="F45" s="5" t="s">
        <v>1303</v>
      </c>
      <c r="G45" s="5"/>
      <c r="H45" s="5"/>
      <c r="I45" s="5"/>
      <c r="J45" s="5"/>
      <c r="K45" s="5"/>
    </row>
    <row r="46" spans="1:11" x14ac:dyDescent="0.25">
      <c r="A46" s="5">
        <v>45</v>
      </c>
      <c r="C46" s="50" t="s">
        <v>1350</v>
      </c>
      <c r="D46" s="29" t="s">
        <v>1301</v>
      </c>
      <c r="E46" s="5" t="s">
        <v>1302</v>
      </c>
      <c r="F46" s="5" t="s">
        <v>1303</v>
      </c>
      <c r="G46" s="5"/>
      <c r="H46" s="5"/>
      <c r="I46" s="5"/>
      <c r="J46" s="5"/>
      <c r="K46" s="5"/>
    </row>
    <row r="47" spans="1:11" x14ac:dyDescent="0.25">
      <c r="A47" s="5">
        <v>46</v>
      </c>
      <c r="C47" s="50" t="s">
        <v>1351</v>
      </c>
      <c r="D47" s="29" t="s">
        <v>1301</v>
      </c>
      <c r="E47" s="5" t="s">
        <v>1302</v>
      </c>
      <c r="F47" s="5" t="s">
        <v>1303</v>
      </c>
      <c r="G47" s="5"/>
      <c r="H47" s="5"/>
      <c r="I47" s="5"/>
      <c r="J47" s="5"/>
      <c r="K47" s="5"/>
    </row>
    <row r="48" spans="1:11" x14ac:dyDescent="0.25">
      <c r="A48" s="5">
        <v>47</v>
      </c>
      <c r="C48" s="50" t="s">
        <v>1352</v>
      </c>
      <c r="D48" s="29" t="s">
        <v>1301</v>
      </c>
      <c r="E48" s="5" t="s">
        <v>1302</v>
      </c>
      <c r="F48" s="5" t="s">
        <v>1303</v>
      </c>
      <c r="G48" s="5"/>
      <c r="H48" s="5"/>
      <c r="I48" s="5"/>
      <c r="J48" s="5"/>
      <c r="K48" s="5"/>
    </row>
    <row r="49" spans="1:11" x14ac:dyDescent="0.25">
      <c r="A49" s="5">
        <v>48</v>
      </c>
      <c r="C49" s="50" t="s">
        <v>1353</v>
      </c>
      <c r="D49" s="29" t="s">
        <v>1301</v>
      </c>
      <c r="E49" s="5" t="s">
        <v>1302</v>
      </c>
      <c r="F49" s="5" t="s">
        <v>1303</v>
      </c>
      <c r="G49" s="5"/>
      <c r="H49" s="5"/>
      <c r="I49" s="5"/>
      <c r="J49" s="5"/>
      <c r="K49" s="5"/>
    </row>
    <row r="50" spans="1:11" x14ac:dyDescent="0.25">
      <c r="A50" s="5">
        <v>49</v>
      </c>
      <c r="C50" s="50" t="s">
        <v>1354</v>
      </c>
      <c r="D50" s="29" t="s">
        <v>1301</v>
      </c>
      <c r="E50" s="5" t="s">
        <v>1302</v>
      </c>
      <c r="F50" s="5" t="s">
        <v>1303</v>
      </c>
      <c r="G50" s="5"/>
      <c r="H50" s="5"/>
      <c r="I50" s="5"/>
      <c r="J50" s="5"/>
      <c r="K50" s="5"/>
    </row>
    <row r="51" spans="1:11" x14ac:dyDescent="0.25">
      <c r="A51" s="5">
        <v>50</v>
      </c>
      <c r="C51" s="50" t="s">
        <v>1355</v>
      </c>
      <c r="D51" s="5" t="s">
        <v>1301</v>
      </c>
      <c r="E51" s="5" t="s">
        <v>1302</v>
      </c>
      <c r="F51" s="5" t="s">
        <v>1303</v>
      </c>
      <c r="G51" s="5"/>
      <c r="H51" s="5"/>
      <c r="I51" s="5"/>
      <c r="J51" s="5"/>
      <c r="K51" s="5"/>
    </row>
    <row r="52" spans="1:11" x14ac:dyDescent="0.25">
      <c r="A52" s="5">
        <v>51</v>
      </c>
      <c r="C52" s="50" t="s">
        <v>1356</v>
      </c>
      <c r="D52" s="5" t="s">
        <v>1301</v>
      </c>
      <c r="E52" s="5" t="s">
        <v>1302</v>
      </c>
      <c r="F52" s="5" t="s">
        <v>1303</v>
      </c>
      <c r="G52" s="5"/>
      <c r="H52" s="5"/>
      <c r="I52" s="5"/>
      <c r="J52" s="5"/>
      <c r="K52" s="5"/>
    </row>
    <row r="53" spans="1:11" x14ac:dyDescent="0.25">
      <c r="A53" s="5">
        <v>52</v>
      </c>
      <c r="C53" s="50" t="s">
        <v>1357</v>
      </c>
      <c r="D53" s="5" t="s">
        <v>1301</v>
      </c>
      <c r="E53" s="5" t="s">
        <v>1302</v>
      </c>
      <c r="F53" s="5" t="s">
        <v>1303</v>
      </c>
      <c r="G53" s="5"/>
      <c r="H53" s="5"/>
      <c r="I53" s="5"/>
      <c r="J53" s="5"/>
      <c r="K53" s="5"/>
    </row>
  </sheetData>
  <sortState xmlns:xlrd2="http://schemas.microsoft.com/office/spreadsheetml/2017/richdata2" ref="A2:K53">
    <sortCondition ref="C2:C53"/>
  </sortState>
  <conditionalFormatting sqref="H1">
    <cfRule type="expression" dxfId="1" priority="1">
      <formula>$A1&lt;&gt;""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13EC-B76A-4933-B524-B1FC573EF8A7}">
  <dimension ref="A1:H3"/>
  <sheetViews>
    <sheetView workbookViewId="0">
      <selection activeCell="F4" sqref="F4"/>
    </sheetView>
  </sheetViews>
  <sheetFormatPr defaultRowHeight="15" x14ac:dyDescent="0.25"/>
  <cols>
    <col min="4" max="4" width="14.140625" customWidth="1"/>
    <col min="6" max="6" width="23.28515625" customWidth="1"/>
    <col min="7" max="7" width="25.28515625" customWidth="1"/>
  </cols>
  <sheetData>
    <row r="1" spans="1:8" ht="20.25" customHeight="1" x14ac:dyDescent="0.25">
      <c r="A1" s="48" t="s">
        <v>1202</v>
      </c>
      <c r="B1" s="48" t="s">
        <v>1203</v>
      </c>
      <c r="C1" s="48" t="s">
        <v>642</v>
      </c>
      <c r="D1" s="48" t="s">
        <v>1358</v>
      </c>
      <c r="E1" s="48" t="s">
        <v>644</v>
      </c>
      <c r="F1" s="48" t="s">
        <v>2</v>
      </c>
      <c r="G1" s="48" t="s">
        <v>649</v>
      </c>
      <c r="H1" s="48" t="s">
        <v>651</v>
      </c>
    </row>
    <row r="2" spans="1:8" x14ac:dyDescent="0.25">
      <c r="A2" s="49">
        <v>1</v>
      </c>
      <c r="B2" s="49"/>
      <c r="C2" s="49" t="s">
        <v>1156</v>
      </c>
      <c r="D2" s="49"/>
      <c r="E2" s="49"/>
      <c r="F2" s="49" t="s">
        <v>407</v>
      </c>
      <c r="G2" s="49" t="s">
        <v>665</v>
      </c>
      <c r="H2" s="49" t="s">
        <v>1359</v>
      </c>
    </row>
    <row r="3" spans="1:8" x14ac:dyDescent="0.25">
      <c r="A3" s="49">
        <v>2</v>
      </c>
      <c r="B3" s="49"/>
      <c r="C3" s="6" t="s">
        <v>1153</v>
      </c>
      <c r="D3" s="49"/>
      <c r="E3" s="49"/>
      <c r="F3" s="49" t="s">
        <v>79</v>
      </c>
      <c r="G3" s="49" t="s">
        <v>665</v>
      </c>
      <c r="H3" s="49" t="s">
        <v>1359</v>
      </c>
    </row>
  </sheetData>
  <conditionalFormatting sqref="F1">
    <cfRule type="expression" dxfId="0" priority="1">
      <formula>$A1&lt;&gt;""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A2C5-DE68-44A5-8E9A-4CFE6172E835}">
  <dimension ref="A1:V33"/>
  <sheetViews>
    <sheetView workbookViewId="0">
      <selection activeCell="N8" sqref="N8"/>
    </sheetView>
  </sheetViews>
  <sheetFormatPr defaultRowHeight="15" x14ac:dyDescent="0.25"/>
  <cols>
    <col min="1" max="1" width="6" bestFit="1" customWidth="1"/>
    <col min="2" max="2" width="15.42578125" bestFit="1" customWidth="1"/>
    <col min="3" max="3" width="11.5703125" bestFit="1" customWidth="1"/>
    <col min="4" max="4" width="25.7109375" customWidth="1"/>
    <col min="5" max="5" width="23.140625" bestFit="1" customWidth="1"/>
    <col min="6" max="6" width="14" bestFit="1" customWidth="1"/>
    <col min="9" max="9" width="6" bestFit="1" customWidth="1"/>
    <col min="10" max="10" width="14.7109375" bestFit="1" customWidth="1"/>
    <col min="11" max="11" width="11.5703125" bestFit="1" customWidth="1"/>
    <col min="12" max="12" width="24" bestFit="1" customWidth="1"/>
    <col min="13" max="13" width="17" bestFit="1" customWidth="1"/>
    <col min="14" max="14" width="21" bestFit="1" customWidth="1"/>
    <col min="15" max="15" width="21" customWidth="1"/>
    <col min="18" max="18" width="6" bestFit="1" customWidth="1"/>
    <col min="19" max="19" width="14.7109375" bestFit="1" customWidth="1"/>
    <col min="20" max="20" width="11.5703125" bestFit="1" customWidth="1"/>
    <col min="21" max="21" width="23.140625" bestFit="1" customWidth="1"/>
    <col min="22" max="22" width="14" bestFit="1" customWidth="1"/>
  </cols>
  <sheetData>
    <row r="1" spans="1:22" ht="26.25" x14ac:dyDescent="0.25">
      <c r="A1" s="73" t="s">
        <v>1360</v>
      </c>
      <c r="B1" s="74"/>
      <c r="C1" s="74"/>
      <c r="D1" s="74"/>
      <c r="E1" s="74"/>
      <c r="F1" s="28"/>
      <c r="I1" s="73" t="s">
        <v>1361</v>
      </c>
      <c r="J1" s="74"/>
      <c r="K1" s="74"/>
      <c r="L1" s="74"/>
      <c r="M1" s="74"/>
    </row>
    <row r="2" spans="1:22" x14ac:dyDescent="0.25">
      <c r="A2" s="11" t="s">
        <v>640</v>
      </c>
      <c r="B2" s="12" t="s">
        <v>1362</v>
      </c>
      <c r="C2" s="12" t="s">
        <v>1363</v>
      </c>
      <c r="D2" s="12" t="s">
        <v>1204</v>
      </c>
      <c r="E2" s="12" t="s">
        <v>1364</v>
      </c>
      <c r="F2" s="12" t="s">
        <v>1265</v>
      </c>
      <c r="I2" s="11" t="s">
        <v>640</v>
      </c>
      <c r="J2" s="12" t="s">
        <v>1365</v>
      </c>
      <c r="K2" s="12" t="s">
        <v>1363</v>
      </c>
      <c r="L2" s="12" t="s">
        <v>1204</v>
      </c>
      <c r="M2" s="13" t="s">
        <v>2</v>
      </c>
      <c r="N2" s="12" t="s">
        <v>1366</v>
      </c>
      <c r="O2" s="12" t="s">
        <v>1265</v>
      </c>
      <c r="R2" s="30" t="s">
        <v>640</v>
      </c>
      <c r="S2" s="31" t="s">
        <v>1367</v>
      </c>
      <c r="T2" s="26" t="s">
        <v>1363</v>
      </c>
      <c r="U2" s="26" t="s">
        <v>1368</v>
      </c>
      <c r="V2" s="27" t="s">
        <v>1265</v>
      </c>
    </row>
    <row r="3" spans="1:22" x14ac:dyDescent="0.25">
      <c r="A3" s="15">
        <v>1</v>
      </c>
      <c r="B3" s="16">
        <v>9371109145</v>
      </c>
      <c r="C3" s="16" t="s">
        <v>1369</v>
      </c>
      <c r="D3" s="16" t="s">
        <v>753</v>
      </c>
      <c r="E3" s="16" t="s">
        <v>1370</v>
      </c>
      <c r="F3" s="16"/>
      <c r="I3" s="15">
        <v>1</v>
      </c>
      <c r="J3" s="16">
        <v>9923602891</v>
      </c>
      <c r="K3" s="16" t="s">
        <v>1369</v>
      </c>
      <c r="L3" s="16" t="s">
        <v>1371</v>
      </c>
      <c r="M3" s="20" t="s">
        <v>860</v>
      </c>
      <c r="N3" s="16" t="s">
        <v>1372</v>
      </c>
      <c r="O3" s="16"/>
      <c r="R3" s="32">
        <v>1</v>
      </c>
      <c r="S3" s="33" t="s">
        <v>1007</v>
      </c>
      <c r="T3" s="14"/>
      <c r="U3" s="14" t="s">
        <v>1370</v>
      </c>
      <c r="V3" s="29"/>
    </row>
    <row r="4" spans="1:22" x14ac:dyDescent="0.25">
      <c r="A4" s="15">
        <v>2</v>
      </c>
      <c r="B4" s="16">
        <v>9371109135</v>
      </c>
      <c r="C4" s="16" t="s">
        <v>1369</v>
      </c>
      <c r="D4" s="16" t="s">
        <v>664</v>
      </c>
      <c r="E4" s="16" t="s">
        <v>1373</v>
      </c>
      <c r="F4" s="19"/>
      <c r="I4" s="15">
        <v>2</v>
      </c>
      <c r="J4" s="16">
        <v>8390591693</v>
      </c>
      <c r="K4" s="16" t="s">
        <v>1369</v>
      </c>
      <c r="L4" s="16" t="s">
        <v>1374</v>
      </c>
      <c r="M4" s="16" t="s">
        <v>112</v>
      </c>
      <c r="N4" s="19" t="s">
        <v>1375</v>
      </c>
      <c r="O4" s="19"/>
      <c r="R4" s="32">
        <v>2</v>
      </c>
      <c r="S4" s="33" t="s">
        <v>1376</v>
      </c>
      <c r="T4" s="14"/>
      <c r="U4" s="14" t="s">
        <v>1377</v>
      </c>
      <c r="V4" s="29"/>
    </row>
    <row r="5" spans="1:22" x14ac:dyDescent="0.25">
      <c r="A5" s="15">
        <v>3</v>
      </c>
      <c r="B5" s="16">
        <v>9371109132</v>
      </c>
      <c r="C5" s="16" t="s">
        <v>1369</v>
      </c>
      <c r="D5" s="16" t="s">
        <v>1378</v>
      </c>
      <c r="E5" s="16" t="s">
        <v>1379</v>
      </c>
      <c r="F5" s="19"/>
      <c r="I5" s="15">
        <v>3</v>
      </c>
      <c r="J5" s="16">
        <v>8390591510</v>
      </c>
      <c r="K5" s="16" t="s">
        <v>1369</v>
      </c>
      <c r="L5" s="16" t="s">
        <v>1380</v>
      </c>
      <c r="M5" s="16" t="s">
        <v>112</v>
      </c>
      <c r="N5" s="19" t="s">
        <v>1375</v>
      </c>
      <c r="O5" s="19"/>
      <c r="R5" s="32">
        <v>3</v>
      </c>
      <c r="S5" s="33" t="s">
        <v>1381</v>
      </c>
      <c r="T5" s="14"/>
      <c r="U5" s="14" t="s">
        <v>1373</v>
      </c>
      <c r="V5" s="29"/>
    </row>
    <row r="6" spans="1:22" x14ac:dyDescent="0.25">
      <c r="A6" s="15">
        <v>4</v>
      </c>
      <c r="B6" s="16">
        <v>9371109131</v>
      </c>
      <c r="C6" s="16" t="s">
        <v>1369</v>
      </c>
      <c r="D6" s="16" t="s">
        <v>1382</v>
      </c>
      <c r="E6" s="16" t="s">
        <v>1373</v>
      </c>
      <c r="F6" s="19"/>
      <c r="I6" s="21">
        <v>4</v>
      </c>
      <c r="J6" s="17">
        <v>9325981587</v>
      </c>
      <c r="K6" s="17" t="s">
        <v>1369</v>
      </c>
      <c r="L6" s="17" t="s">
        <v>1383</v>
      </c>
      <c r="M6" s="17" t="s">
        <v>112</v>
      </c>
      <c r="N6" s="19" t="s">
        <v>1375</v>
      </c>
      <c r="O6" s="19"/>
    </row>
    <row r="7" spans="1:22" x14ac:dyDescent="0.25">
      <c r="A7" s="15">
        <v>5</v>
      </c>
      <c r="B7" s="16">
        <v>9371109144</v>
      </c>
      <c r="C7" s="16" t="s">
        <v>1369</v>
      </c>
      <c r="D7" s="16" t="s">
        <v>1384</v>
      </c>
      <c r="E7" s="16" t="s">
        <v>1373</v>
      </c>
      <c r="F7" s="16"/>
      <c r="I7" s="15">
        <v>5</v>
      </c>
      <c r="J7" s="16">
        <v>9923602892</v>
      </c>
      <c r="K7" s="16" t="s">
        <v>1369</v>
      </c>
      <c r="L7" s="16" t="s">
        <v>1385</v>
      </c>
      <c r="M7" s="16" t="s">
        <v>1386</v>
      </c>
      <c r="N7" s="16" t="s">
        <v>1377</v>
      </c>
      <c r="O7" s="16"/>
    </row>
    <row r="8" spans="1:22" x14ac:dyDescent="0.25">
      <c r="A8" s="15">
        <v>6</v>
      </c>
      <c r="B8" s="17">
        <v>9371109128</v>
      </c>
      <c r="C8" s="17"/>
      <c r="D8" s="17" t="s">
        <v>1376</v>
      </c>
      <c r="E8" s="19" t="s">
        <v>1373</v>
      </c>
      <c r="F8" s="19"/>
      <c r="I8" s="15">
        <v>6</v>
      </c>
      <c r="J8" s="16">
        <v>8291925585</v>
      </c>
      <c r="K8" s="16" t="s">
        <v>1369</v>
      </c>
      <c r="L8" s="16" t="s">
        <v>1387</v>
      </c>
      <c r="M8" s="17" t="s">
        <v>612</v>
      </c>
      <c r="N8" s="19" t="s">
        <v>1388</v>
      </c>
      <c r="O8" s="19"/>
    </row>
    <row r="9" spans="1:22" x14ac:dyDescent="0.25">
      <c r="A9" s="15">
        <v>7</v>
      </c>
      <c r="B9" s="16">
        <v>9371109134</v>
      </c>
      <c r="C9" s="16" t="s">
        <v>1369</v>
      </c>
      <c r="D9" s="16" t="s">
        <v>1389</v>
      </c>
      <c r="E9" s="16" t="s">
        <v>1390</v>
      </c>
      <c r="F9" s="19"/>
      <c r="I9" s="15">
        <v>7</v>
      </c>
      <c r="J9" s="16">
        <v>9022930355</v>
      </c>
      <c r="K9" s="16" t="s">
        <v>1369</v>
      </c>
      <c r="L9" s="16" t="s">
        <v>835</v>
      </c>
      <c r="M9" s="17" t="s">
        <v>612</v>
      </c>
      <c r="N9" s="19" t="s">
        <v>1375</v>
      </c>
      <c r="O9" s="19"/>
    </row>
    <row r="10" spans="1:22" x14ac:dyDescent="0.25">
      <c r="A10" s="15">
        <v>8</v>
      </c>
      <c r="B10" s="16">
        <v>9371109126</v>
      </c>
      <c r="C10" s="16" t="s">
        <v>1369</v>
      </c>
      <c r="D10" s="16" t="s">
        <v>1391</v>
      </c>
      <c r="E10" s="16" t="s">
        <v>1373</v>
      </c>
      <c r="F10" s="16"/>
      <c r="I10" s="21">
        <v>8</v>
      </c>
      <c r="J10" s="16">
        <v>9158900905</v>
      </c>
      <c r="K10" s="16" t="s">
        <v>1369</v>
      </c>
      <c r="L10" s="16" t="s">
        <v>1080</v>
      </c>
      <c r="M10" s="16" t="s">
        <v>17</v>
      </c>
      <c r="N10" s="16" t="s">
        <v>1377</v>
      </c>
      <c r="O10" s="16"/>
    </row>
    <row r="11" spans="1:22" x14ac:dyDescent="0.25">
      <c r="A11" s="15">
        <v>9</v>
      </c>
      <c r="B11" s="16">
        <v>9371109142</v>
      </c>
      <c r="C11" s="16" t="s">
        <v>1369</v>
      </c>
      <c r="D11" s="16" t="s">
        <v>696</v>
      </c>
      <c r="E11" s="19" t="s">
        <v>1375</v>
      </c>
      <c r="F11" s="19"/>
      <c r="I11" s="15">
        <v>9</v>
      </c>
      <c r="J11" s="16">
        <v>9011074065</v>
      </c>
      <c r="K11" s="16" t="s">
        <v>1369</v>
      </c>
      <c r="L11" s="16" t="s">
        <v>1392</v>
      </c>
      <c r="M11" s="16" t="s">
        <v>17</v>
      </c>
      <c r="N11" s="19" t="s">
        <v>1375</v>
      </c>
      <c r="O11" s="19"/>
    </row>
    <row r="12" spans="1:22" x14ac:dyDescent="0.25">
      <c r="A12" s="15">
        <v>10</v>
      </c>
      <c r="B12" s="16">
        <v>9371109141</v>
      </c>
      <c r="C12" s="16" t="s">
        <v>1369</v>
      </c>
      <c r="D12" s="16" t="s">
        <v>1393</v>
      </c>
      <c r="E12" s="16" t="s">
        <v>1373</v>
      </c>
      <c r="F12" s="19"/>
      <c r="I12" s="15">
        <v>10</v>
      </c>
      <c r="J12" s="16">
        <v>8378984310</v>
      </c>
      <c r="K12" s="16" t="s">
        <v>1369</v>
      </c>
      <c r="L12" s="16" t="s">
        <v>767</v>
      </c>
      <c r="M12" s="16" t="s">
        <v>17</v>
      </c>
      <c r="N12" s="19" t="s">
        <v>1375</v>
      </c>
      <c r="O12" s="19"/>
    </row>
    <row r="13" spans="1:22" x14ac:dyDescent="0.25">
      <c r="A13" s="15">
        <v>11</v>
      </c>
      <c r="B13" s="16">
        <v>9371109140</v>
      </c>
      <c r="C13" s="16" t="s">
        <v>1369</v>
      </c>
      <c r="D13" s="16" t="s">
        <v>1394</v>
      </c>
      <c r="E13" s="16" t="s">
        <v>1379</v>
      </c>
      <c r="F13" s="19"/>
      <c r="I13" s="15">
        <v>11</v>
      </c>
      <c r="J13" s="17">
        <v>8459614181</v>
      </c>
      <c r="K13" s="17" t="s">
        <v>1369</v>
      </c>
      <c r="L13" s="17" t="s">
        <v>696</v>
      </c>
      <c r="M13" s="16" t="s">
        <v>17</v>
      </c>
      <c r="N13" s="19" t="s">
        <v>665</v>
      </c>
      <c r="O13" s="19"/>
    </row>
    <row r="14" spans="1:22" x14ac:dyDescent="0.25">
      <c r="A14" s="15">
        <v>12</v>
      </c>
      <c r="B14" s="16">
        <v>9371109137</v>
      </c>
      <c r="C14" s="16" t="s">
        <v>1369</v>
      </c>
      <c r="D14" s="16" t="s">
        <v>1395</v>
      </c>
      <c r="E14" s="16" t="s">
        <v>1373</v>
      </c>
      <c r="F14" s="19"/>
      <c r="I14" s="21">
        <v>12</v>
      </c>
      <c r="J14" s="16">
        <v>8459614183</v>
      </c>
      <c r="K14" s="16" t="s">
        <v>1369</v>
      </c>
      <c r="L14" s="16" t="s">
        <v>730</v>
      </c>
      <c r="M14" s="16" t="s">
        <v>407</v>
      </c>
      <c r="N14" s="19" t="s">
        <v>1375</v>
      </c>
      <c r="O14" s="19"/>
    </row>
    <row r="15" spans="1:22" x14ac:dyDescent="0.25">
      <c r="A15" s="15">
        <v>13</v>
      </c>
      <c r="B15" s="16">
        <v>9371109136</v>
      </c>
      <c r="C15" s="16" t="s">
        <v>1369</v>
      </c>
      <c r="D15" s="16" t="s">
        <v>1396</v>
      </c>
      <c r="E15" s="16" t="s">
        <v>1397</v>
      </c>
      <c r="F15" s="19"/>
      <c r="I15" s="15">
        <v>13</v>
      </c>
      <c r="J15" s="16">
        <v>8378984311</v>
      </c>
      <c r="K15" s="16" t="s">
        <v>1369</v>
      </c>
      <c r="L15" s="16" t="s">
        <v>1398</v>
      </c>
      <c r="M15" s="16" t="s">
        <v>10</v>
      </c>
      <c r="N15" s="19" t="s">
        <v>1375</v>
      </c>
      <c r="O15" s="19"/>
    </row>
    <row r="16" spans="1:22" x14ac:dyDescent="0.25">
      <c r="A16" s="15">
        <v>14</v>
      </c>
      <c r="B16" s="16">
        <v>9371109139</v>
      </c>
      <c r="C16" s="16" t="s">
        <v>1369</v>
      </c>
      <c r="D16" s="16" t="s">
        <v>1399</v>
      </c>
      <c r="E16" s="16" t="s">
        <v>1373</v>
      </c>
      <c r="F16" s="19"/>
      <c r="I16" s="15">
        <v>14</v>
      </c>
      <c r="J16" s="16">
        <v>7045745507</v>
      </c>
      <c r="K16" s="16" t="s">
        <v>1369</v>
      </c>
      <c r="L16" s="16" t="s">
        <v>1095</v>
      </c>
      <c r="M16" s="16" t="s">
        <v>217</v>
      </c>
      <c r="N16" s="19" t="s">
        <v>1375</v>
      </c>
      <c r="O16" s="19"/>
    </row>
    <row r="17" spans="1:15" x14ac:dyDescent="0.25">
      <c r="A17" s="15">
        <v>15</v>
      </c>
      <c r="B17" s="16">
        <v>9371109133</v>
      </c>
      <c r="C17" s="16" t="s">
        <v>1369</v>
      </c>
      <c r="D17" s="16" t="s">
        <v>1400</v>
      </c>
      <c r="E17" s="16" t="s">
        <v>1373</v>
      </c>
      <c r="F17" s="19"/>
      <c r="I17" s="15">
        <v>15</v>
      </c>
      <c r="J17" s="16">
        <v>8459614176</v>
      </c>
      <c r="K17" s="16" t="s">
        <v>1369</v>
      </c>
      <c r="L17" s="16" t="s">
        <v>1401</v>
      </c>
      <c r="M17" s="16" t="s">
        <v>217</v>
      </c>
      <c r="N17" s="19" t="s">
        <v>1375</v>
      </c>
      <c r="O17" s="19"/>
    </row>
    <row r="18" spans="1:15" x14ac:dyDescent="0.25">
      <c r="A18" s="15">
        <v>16</v>
      </c>
      <c r="B18" s="16">
        <v>9371109127</v>
      </c>
      <c r="C18" s="16" t="s">
        <v>1369</v>
      </c>
      <c r="D18" s="16" t="s">
        <v>1402</v>
      </c>
      <c r="E18" s="16" t="s">
        <v>1379</v>
      </c>
      <c r="F18" s="19"/>
      <c r="I18" s="21">
        <v>16</v>
      </c>
      <c r="J18" s="16">
        <v>8291925584</v>
      </c>
      <c r="K18" s="16" t="s">
        <v>1369</v>
      </c>
      <c r="L18" s="16" t="s">
        <v>1403</v>
      </c>
      <c r="M18" s="16" t="s">
        <v>332</v>
      </c>
      <c r="N18" s="19" t="s">
        <v>1375</v>
      </c>
      <c r="O18" s="19"/>
    </row>
    <row r="19" spans="1:15" x14ac:dyDescent="0.25">
      <c r="A19" s="15">
        <v>17</v>
      </c>
      <c r="B19" s="16">
        <v>9371109124</v>
      </c>
      <c r="C19" s="16" t="s">
        <v>1369</v>
      </c>
      <c r="D19" s="16" t="s">
        <v>1404</v>
      </c>
      <c r="E19" s="19" t="s">
        <v>665</v>
      </c>
      <c r="F19" s="19"/>
      <c r="I19" s="15">
        <v>17</v>
      </c>
      <c r="J19" s="16">
        <v>9923602890</v>
      </c>
      <c r="K19" s="16" t="s">
        <v>1369</v>
      </c>
      <c r="L19" s="16" t="s">
        <v>1405</v>
      </c>
      <c r="M19" s="16" t="s">
        <v>753</v>
      </c>
      <c r="N19" s="19" t="s">
        <v>1375</v>
      </c>
      <c r="O19" s="19"/>
    </row>
    <row r="20" spans="1:15" x14ac:dyDescent="0.25">
      <c r="A20" s="15">
        <v>18</v>
      </c>
      <c r="B20" s="16">
        <v>9371109130</v>
      </c>
      <c r="C20" s="16" t="s">
        <v>1369</v>
      </c>
      <c r="D20" s="16" t="s">
        <v>1406</v>
      </c>
      <c r="E20" s="16" t="s">
        <v>1373</v>
      </c>
      <c r="F20" s="19"/>
      <c r="I20" s="15">
        <v>18</v>
      </c>
      <c r="J20" s="16">
        <v>8459614178</v>
      </c>
      <c r="K20" s="16" t="s">
        <v>1369</v>
      </c>
      <c r="L20" s="16" t="s">
        <v>1243</v>
      </c>
      <c r="M20" s="16" t="s">
        <v>753</v>
      </c>
      <c r="N20" s="19" t="s">
        <v>1375</v>
      </c>
      <c r="O20" s="19"/>
    </row>
    <row r="21" spans="1:15" x14ac:dyDescent="0.25">
      <c r="A21" s="15">
        <v>19</v>
      </c>
      <c r="B21" s="16">
        <v>9371109125</v>
      </c>
      <c r="C21" s="16" t="s">
        <v>1369</v>
      </c>
      <c r="D21" s="16" t="s">
        <v>1407</v>
      </c>
      <c r="E21" s="16" t="s">
        <v>1373</v>
      </c>
      <c r="F21" s="19"/>
      <c r="I21" s="15">
        <v>19</v>
      </c>
      <c r="J21" s="16">
        <v>8459614180</v>
      </c>
      <c r="K21" s="16" t="s">
        <v>1369</v>
      </c>
      <c r="L21" s="16" t="s">
        <v>1408</v>
      </c>
      <c r="M21" s="16" t="s">
        <v>1007</v>
      </c>
      <c r="N21" s="19" t="s">
        <v>1375</v>
      </c>
      <c r="O21" s="19"/>
    </row>
    <row r="22" spans="1:15" x14ac:dyDescent="0.25">
      <c r="A22" s="15">
        <v>20</v>
      </c>
      <c r="B22" s="16">
        <v>9371109129</v>
      </c>
      <c r="C22" s="16" t="s">
        <v>1369</v>
      </c>
      <c r="D22" s="16" t="s">
        <v>1409</v>
      </c>
      <c r="E22" s="16" t="s">
        <v>1373</v>
      </c>
      <c r="F22" s="16"/>
      <c r="I22" s="21">
        <v>20</v>
      </c>
      <c r="J22" s="17">
        <v>8378984301</v>
      </c>
      <c r="K22" s="17" t="s">
        <v>1369</v>
      </c>
      <c r="L22" s="17" t="s">
        <v>1410</v>
      </c>
      <c r="M22" s="17" t="s">
        <v>36</v>
      </c>
      <c r="N22" s="16" t="s">
        <v>1377</v>
      </c>
      <c r="O22" s="16"/>
    </row>
    <row r="23" spans="1:15" x14ac:dyDescent="0.25">
      <c r="A23" s="15">
        <v>21</v>
      </c>
      <c r="B23" s="16">
        <v>9371109148</v>
      </c>
      <c r="C23" s="16" t="s">
        <v>1369</v>
      </c>
      <c r="D23" s="16" t="s">
        <v>1411</v>
      </c>
      <c r="E23" s="16" t="s">
        <v>1390</v>
      </c>
      <c r="F23" s="16"/>
      <c r="I23" s="15">
        <v>21</v>
      </c>
      <c r="J23" s="17">
        <v>9923602896</v>
      </c>
      <c r="K23" s="17" t="s">
        <v>1369</v>
      </c>
      <c r="L23" s="17" t="s">
        <v>1412</v>
      </c>
      <c r="M23" s="17" t="s">
        <v>36</v>
      </c>
      <c r="N23" s="16" t="s">
        <v>1377</v>
      </c>
      <c r="O23" s="16"/>
    </row>
    <row r="24" spans="1:15" x14ac:dyDescent="0.25">
      <c r="A24" s="15">
        <v>22</v>
      </c>
      <c r="B24" s="16">
        <v>9371109152</v>
      </c>
      <c r="C24" s="16" t="s">
        <v>1369</v>
      </c>
      <c r="D24" s="16" t="s">
        <v>1413</v>
      </c>
      <c r="E24" s="16" t="s">
        <v>1373</v>
      </c>
      <c r="F24" s="16"/>
      <c r="I24" s="15">
        <v>22</v>
      </c>
      <c r="J24" s="17">
        <v>9923602889</v>
      </c>
      <c r="K24" s="17" t="s">
        <v>1369</v>
      </c>
      <c r="L24" s="17" t="s">
        <v>1414</v>
      </c>
      <c r="M24" s="17" t="s">
        <v>10</v>
      </c>
      <c r="N24" s="16" t="s">
        <v>1377</v>
      </c>
      <c r="O24" s="16"/>
    </row>
    <row r="25" spans="1:15" x14ac:dyDescent="0.25">
      <c r="A25" s="15">
        <v>23</v>
      </c>
      <c r="B25" s="16">
        <v>9371109149</v>
      </c>
      <c r="C25" s="16" t="s">
        <v>1369</v>
      </c>
      <c r="D25" s="16" t="s">
        <v>1415</v>
      </c>
      <c r="E25" s="16" t="s">
        <v>1373</v>
      </c>
      <c r="F25" s="16"/>
      <c r="I25" s="15">
        <v>23</v>
      </c>
      <c r="J25" s="17">
        <v>8459614179</v>
      </c>
      <c r="K25" s="17" t="s">
        <v>1369</v>
      </c>
      <c r="L25" s="17" t="s">
        <v>1416</v>
      </c>
      <c r="M25" s="17" t="s">
        <v>36</v>
      </c>
      <c r="N25" s="16" t="s">
        <v>1377</v>
      </c>
      <c r="O25" s="16"/>
    </row>
    <row r="26" spans="1:15" x14ac:dyDescent="0.25">
      <c r="A26" s="15">
        <v>24</v>
      </c>
      <c r="B26" s="16">
        <v>9371109150</v>
      </c>
      <c r="C26" s="16" t="s">
        <v>1369</v>
      </c>
      <c r="D26" s="16" t="s">
        <v>1417</v>
      </c>
      <c r="E26" s="16" t="s">
        <v>1373</v>
      </c>
      <c r="F26" s="19"/>
      <c r="I26" s="21">
        <v>24</v>
      </c>
      <c r="J26" s="16">
        <v>9022930354</v>
      </c>
      <c r="K26" s="16" t="s">
        <v>1369</v>
      </c>
      <c r="L26" s="16" t="s">
        <v>1418</v>
      </c>
      <c r="M26" s="17" t="s">
        <v>36</v>
      </c>
      <c r="N26" s="19" t="s">
        <v>665</v>
      </c>
      <c r="O26" s="19"/>
    </row>
    <row r="27" spans="1:15" x14ac:dyDescent="0.25">
      <c r="A27" s="15">
        <v>25</v>
      </c>
      <c r="B27" s="16">
        <v>9371109153</v>
      </c>
      <c r="C27" s="16" t="s">
        <v>1369</v>
      </c>
      <c r="D27" s="16" t="s">
        <v>1419</v>
      </c>
      <c r="E27" s="16" t="s">
        <v>1379</v>
      </c>
      <c r="F27" s="19"/>
      <c r="I27" s="15">
        <v>25</v>
      </c>
      <c r="J27" s="17">
        <v>9325981590</v>
      </c>
      <c r="K27" s="17" t="s">
        <v>1369</v>
      </c>
      <c r="L27" s="17" t="s">
        <v>1420</v>
      </c>
      <c r="M27" s="17" t="s">
        <v>1421</v>
      </c>
      <c r="N27" s="19" t="s">
        <v>1375</v>
      </c>
      <c r="O27" s="19"/>
    </row>
    <row r="28" spans="1:15" x14ac:dyDescent="0.25">
      <c r="A28" s="15">
        <v>26</v>
      </c>
      <c r="B28" s="16">
        <v>9371109147</v>
      </c>
      <c r="C28" s="16" t="s">
        <v>1369</v>
      </c>
      <c r="D28" s="16" t="s">
        <v>1422</v>
      </c>
      <c r="E28" s="16" t="s">
        <v>1373</v>
      </c>
      <c r="F28" s="19"/>
      <c r="I28" s="15">
        <v>26</v>
      </c>
      <c r="J28" s="16">
        <v>8459614177</v>
      </c>
      <c r="K28" s="16" t="s">
        <v>1369</v>
      </c>
      <c r="L28" s="16" t="s">
        <v>1423</v>
      </c>
      <c r="M28" s="16" t="s">
        <v>131</v>
      </c>
      <c r="N28" s="19" t="s">
        <v>1375</v>
      </c>
      <c r="O28" s="19"/>
    </row>
    <row r="29" spans="1:15" x14ac:dyDescent="0.25">
      <c r="A29" s="15">
        <v>27</v>
      </c>
      <c r="B29" s="16">
        <v>9371109146</v>
      </c>
      <c r="C29" s="16" t="s">
        <v>1369</v>
      </c>
      <c r="D29" s="16" t="s">
        <v>1100</v>
      </c>
      <c r="E29" s="16" t="s">
        <v>1390</v>
      </c>
      <c r="F29" s="19"/>
      <c r="I29" s="15">
        <v>27</v>
      </c>
      <c r="J29" s="16">
        <v>8378984303</v>
      </c>
      <c r="K29" s="16" t="s">
        <v>1369</v>
      </c>
      <c r="L29" s="16" t="s">
        <v>771</v>
      </c>
      <c r="M29" s="16" t="s">
        <v>156</v>
      </c>
      <c r="N29" s="19" t="s">
        <v>1375</v>
      </c>
      <c r="O29" s="19"/>
    </row>
    <row r="30" spans="1:15" x14ac:dyDescent="0.25">
      <c r="A30" s="15">
        <v>28</v>
      </c>
      <c r="B30" s="16">
        <v>9371109154</v>
      </c>
      <c r="C30" s="16" t="s">
        <v>1369</v>
      </c>
      <c r="D30" s="16" t="s">
        <v>1424</v>
      </c>
      <c r="E30" s="19" t="s">
        <v>1375</v>
      </c>
      <c r="F30" s="19"/>
      <c r="I30" s="21">
        <v>28</v>
      </c>
      <c r="J30" s="16">
        <v>8378984300</v>
      </c>
      <c r="K30" s="16" t="s">
        <v>1369</v>
      </c>
      <c r="L30" s="16" t="s">
        <v>746</v>
      </c>
      <c r="M30" s="16" t="s">
        <v>156</v>
      </c>
      <c r="N30" s="19" t="s">
        <v>1375</v>
      </c>
      <c r="O30" s="19"/>
    </row>
    <row r="31" spans="1:15" x14ac:dyDescent="0.25">
      <c r="A31" s="15">
        <v>29</v>
      </c>
      <c r="B31" s="16">
        <v>9371109156</v>
      </c>
      <c r="C31" s="16" t="s">
        <v>1369</v>
      </c>
      <c r="D31" s="16" t="s">
        <v>212</v>
      </c>
      <c r="E31" s="16" t="s">
        <v>1373</v>
      </c>
      <c r="F31" s="19"/>
      <c r="I31" s="22">
        <v>29</v>
      </c>
      <c r="J31" s="23">
        <v>9022930356</v>
      </c>
      <c r="K31" s="23" t="s">
        <v>1369</v>
      </c>
      <c r="L31" s="23" t="s">
        <v>717</v>
      </c>
      <c r="M31" s="17" t="s">
        <v>156</v>
      </c>
      <c r="N31" s="19" t="s">
        <v>1375</v>
      </c>
      <c r="O31" s="19"/>
    </row>
    <row r="32" spans="1:15" x14ac:dyDescent="0.25">
      <c r="A32" s="15">
        <v>30</v>
      </c>
      <c r="B32" s="16">
        <v>9371091004</v>
      </c>
      <c r="C32" s="16" t="s">
        <v>1369</v>
      </c>
      <c r="D32" s="16" t="s">
        <v>1425</v>
      </c>
      <c r="E32" s="16" t="s">
        <v>1426</v>
      </c>
      <c r="F32" s="19"/>
      <c r="I32" s="24">
        <v>30</v>
      </c>
      <c r="J32" s="25">
        <v>9158890891</v>
      </c>
      <c r="K32" s="25" t="s">
        <v>1369</v>
      </c>
      <c r="L32" s="25" t="s">
        <v>1427</v>
      </c>
      <c r="M32" s="18" t="s">
        <v>665</v>
      </c>
      <c r="N32" s="19" t="s">
        <v>1375</v>
      </c>
      <c r="O32" s="19"/>
    </row>
    <row r="33" spans="1:6" x14ac:dyDescent="0.25">
      <c r="A33" s="15">
        <v>31</v>
      </c>
      <c r="B33" s="17">
        <v>9371091006</v>
      </c>
      <c r="C33" s="17" t="s">
        <v>1369</v>
      </c>
      <c r="D33" s="17" t="s">
        <v>1428</v>
      </c>
      <c r="E33" s="18" t="s">
        <v>665</v>
      </c>
      <c r="F33" s="19"/>
    </row>
  </sheetData>
  <mergeCells count="2">
    <mergeCell ref="A1:E1"/>
    <mergeCell ref="I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50C6-F1A6-4644-B1FF-309721EB490C}">
  <dimension ref="A1:C2"/>
  <sheetViews>
    <sheetView workbookViewId="0">
      <selection activeCell="C2" sqref="C2"/>
    </sheetView>
  </sheetViews>
  <sheetFormatPr defaultRowHeight="15" x14ac:dyDescent="0.25"/>
  <cols>
    <col min="3" max="3" width="13.7109375" bestFit="1" customWidth="1"/>
  </cols>
  <sheetData>
    <row r="1" spans="1:3" x14ac:dyDescent="0.25">
      <c r="A1" s="49" t="s">
        <v>640</v>
      </c>
      <c r="B1" s="49" t="s">
        <v>1429</v>
      </c>
      <c r="C1" s="49" t="s">
        <v>1265</v>
      </c>
    </row>
    <row r="2" spans="1:3" x14ac:dyDescent="0.25">
      <c r="A2" s="49">
        <v>1</v>
      </c>
      <c r="B2" s="49" t="s">
        <v>1430</v>
      </c>
      <c r="C2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EMP Info</vt:lpstr>
      <vt:lpstr>Laptop &amp; Desktop</vt:lpstr>
      <vt:lpstr>Sheet1</vt:lpstr>
      <vt:lpstr>Printer</vt:lpstr>
      <vt:lpstr>Smart TV &amp; Projector</vt:lpstr>
      <vt:lpstr>Rental Xerox Machine</vt:lpstr>
      <vt:lpstr>CCTV Camera</vt:lpstr>
      <vt:lpstr>Pendrive</vt:lpstr>
      <vt:lpstr>Mobile &amp; Sim Number</vt:lpstr>
      <vt:lpstr>EPABX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Jairaj Bhogade</cp:lastModifiedBy>
  <cp:revision/>
  <dcterms:created xsi:type="dcterms:W3CDTF">2024-07-23T05:56:55Z</dcterms:created>
  <dcterms:modified xsi:type="dcterms:W3CDTF">2026-08-31T12:25:26Z</dcterms:modified>
  <cp:category/>
  <cp:contentStatus/>
</cp:coreProperties>
</file>