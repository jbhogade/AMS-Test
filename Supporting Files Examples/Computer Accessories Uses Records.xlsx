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spl12-my.sharepoint.com/personal/jairaj_b_ocspl_com/Documents/Study_and_Practice/VS_Code_Practice/Asset_Management_System_v4-0/AMS-Test/Supporting Files Examples/"/>
    </mc:Choice>
  </mc:AlternateContent>
  <xr:revisionPtr revIDLastSave="1013" documentId="13_ncr:1_{BFF224C9-0769-445C-9867-57D3BCC1CCE0}" xr6:coauthVersionLast="47" xr6:coauthVersionMax="47" xr10:uidLastSave="{727C6045-2A3E-4077-B8AC-EED334F2EF97}"/>
  <bookViews>
    <workbookView xWindow="-120" yWindow="-120" windowWidth="29040" windowHeight="15720" tabRatio="932" activeTab="4" xr2:uid="{73EB3237-1E94-44D5-85F8-6A9DAB5DEA19}"/>
  </bookViews>
  <sheets>
    <sheet name="EmpDetails" sheetId="8" r:id="rId1"/>
    <sheet name="Tables" sheetId="1" r:id="rId2"/>
    <sheet name="Recurring Item Re-Stock" sheetId="2" r:id="rId3"/>
    <sheet name="Recurring Item" sheetId="4" r:id="rId4"/>
    <sheet name="Recurring Item Record" sheetId="5" r:id="rId5"/>
    <sheet name="Computer Equipment Re-Stock" sheetId="3" r:id="rId6"/>
    <sheet name="Computer Equipments" sheetId="6" r:id="rId7"/>
    <sheet name="Computer Equipment Record" sheetId="7" r:id="rId8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5" l="1"/>
  <c r="A50" i="5"/>
  <c r="A51" i="5"/>
  <c r="A96" i="5"/>
  <c r="A93" i="5"/>
  <c r="A95" i="5"/>
  <c r="A94" i="5"/>
  <c r="A92" i="5"/>
  <c r="A91" i="5"/>
  <c r="A90" i="5"/>
  <c r="A89" i="5"/>
  <c r="A3" i="4"/>
  <c r="A4" i="4"/>
  <c r="A5" i="4"/>
  <c r="A6" i="4"/>
  <c r="A7" i="4"/>
  <c r="A8" i="4"/>
  <c r="A9" i="4"/>
  <c r="A10" i="4"/>
  <c r="A11" i="4"/>
  <c r="A12" i="4"/>
  <c r="A13" i="4"/>
  <c r="A14" i="4"/>
  <c r="A2" i="4"/>
  <c r="C6" i="4"/>
  <c r="D6" i="4"/>
  <c r="C5" i="4"/>
  <c r="D5" i="4"/>
  <c r="C4" i="4"/>
  <c r="D4" i="4"/>
  <c r="C3" i="4"/>
  <c r="D3" i="4"/>
  <c r="A37" i="2"/>
  <c r="A36" i="2"/>
  <c r="A35" i="2"/>
  <c r="A34" i="2"/>
  <c r="A33" i="2"/>
  <c r="A32" i="2"/>
  <c r="A31" i="2"/>
  <c r="A30" i="2"/>
  <c r="A29" i="2"/>
  <c r="A88" i="5"/>
  <c r="A87" i="5"/>
  <c r="A86" i="5"/>
  <c r="A85" i="5"/>
  <c r="A84" i="5"/>
  <c r="A83" i="5"/>
  <c r="A82" i="5"/>
  <c r="A81" i="5"/>
  <c r="A80" i="5"/>
  <c r="A79" i="5"/>
  <c r="A78" i="5"/>
  <c r="A77" i="5"/>
  <c r="A75" i="5"/>
  <c r="A76" i="5"/>
  <c r="A74" i="5"/>
  <c r="A73" i="5"/>
  <c r="A72" i="5"/>
  <c r="A71" i="5"/>
  <c r="A70" i="5"/>
  <c r="A28" i="2"/>
  <c r="A27" i="2"/>
  <c r="A26" i="2"/>
  <c r="A25" i="2"/>
  <c r="A47" i="7"/>
  <c r="D47" i="7"/>
  <c r="A46" i="7"/>
  <c r="D46" i="7"/>
  <c r="A26" i="3"/>
  <c r="A69" i="5"/>
  <c r="A68" i="5"/>
  <c r="A67" i="5"/>
  <c r="A66" i="5"/>
  <c r="A65" i="5"/>
  <c r="A64" i="5"/>
  <c r="A63" i="5"/>
  <c r="A60" i="5"/>
  <c r="A62" i="5"/>
  <c r="A61" i="5"/>
  <c r="A45" i="7"/>
  <c r="A43" i="7"/>
  <c r="D43" i="7"/>
  <c r="A44" i="7"/>
  <c r="D44" i="7"/>
  <c r="A42" i="7"/>
  <c r="D42" i="7"/>
  <c r="A22" i="3"/>
  <c r="A25" i="3"/>
  <c r="A24" i="3"/>
  <c r="A23" i="3"/>
  <c r="A59" i="5"/>
  <c r="A24" i="2"/>
  <c r="A23" i="2"/>
  <c r="A22" i="2"/>
  <c r="A58" i="5"/>
  <c r="A57" i="5"/>
  <c r="C13" i="4"/>
  <c r="D13" i="4"/>
  <c r="A56" i="5"/>
  <c r="A55" i="5"/>
  <c r="A54" i="5"/>
  <c r="A21" i="2"/>
  <c r="A20" i="2"/>
  <c r="A19" i="2"/>
  <c r="A53" i="5"/>
  <c r="A52" i="5"/>
  <c r="A18" i="2"/>
  <c r="A17" i="2"/>
  <c r="A48" i="5"/>
  <c r="A47" i="5"/>
  <c r="A46" i="5"/>
  <c r="A45" i="5"/>
  <c r="A44" i="5"/>
  <c r="A43" i="5"/>
  <c r="A42" i="5"/>
  <c r="A41" i="5"/>
  <c r="A41" i="7"/>
  <c r="D41" i="7"/>
  <c r="A40" i="7"/>
  <c r="A21" i="6"/>
  <c r="C21" i="6"/>
  <c r="D21" i="6"/>
  <c r="E21" i="6"/>
  <c r="F21" i="6"/>
  <c r="G21" i="6"/>
  <c r="A20" i="6"/>
  <c r="C20" i="6"/>
  <c r="D20" i="6"/>
  <c r="E20" i="6"/>
  <c r="F20" i="6"/>
  <c r="G20" i="6"/>
  <c r="A19" i="6"/>
  <c r="C19" i="6"/>
  <c r="D19" i="6"/>
  <c r="E19" i="6"/>
  <c r="F19" i="6"/>
  <c r="G19" i="6"/>
  <c r="A18" i="6"/>
  <c r="C18" i="6"/>
  <c r="D18" i="6"/>
  <c r="E18" i="6"/>
  <c r="F18" i="6"/>
  <c r="G18" i="6"/>
  <c r="A17" i="6"/>
  <c r="C17" i="6"/>
  <c r="D17" i="6"/>
  <c r="E17" i="6"/>
  <c r="F17" i="6"/>
  <c r="G17" i="6"/>
  <c r="A16" i="6"/>
  <c r="C16" i="6"/>
  <c r="D16" i="6"/>
  <c r="E16" i="6"/>
  <c r="F16" i="6"/>
  <c r="G16" i="6"/>
  <c r="A15" i="6"/>
  <c r="C15" i="6"/>
  <c r="D15" i="6"/>
  <c r="E15" i="6"/>
  <c r="F15" i="6"/>
  <c r="G15" i="6"/>
  <c r="A14" i="6"/>
  <c r="C14" i="6"/>
  <c r="D14" i="6"/>
  <c r="E14" i="6"/>
  <c r="F14" i="6"/>
  <c r="G14" i="6"/>
  <c r="A13" i="6"/>
  <c r="C13" i="6"/>
  <c r="D13" i="6"/>
  <c r="E13" i="6"/>
  <c r="F13" i="6"/>
  <c r="G13" i="6"/>
  <c r="A12" i="6"/>
  <c r="C12" i="6"/>
  <c r="D12" i="6"/>
  <c r="E12" i="6"/>
  <c r="F12" i="6"/>
  <c r="G12" i="6"/>
  <c r="A21" i="3"/>
  <c r="A20" i="3"/>
  <c r="A19" i="3"/>
  <c r="A18" i="3"/>
  <c r="A17" i="3"/>
  <c r="A16" i="3"/>
  <c r="A15" i="3"/>
  <c r="A14" i="3"/>
  <c r="A13" i="3"/>
  <c r="A12" i="3"/>
  <c r="A39" i="7"/>
  <c r="A40" i="5"/>
  <c r="A16" i="2"/>
  <c r="A15" i="2"/>
  <c r="A14" i="2"/>
  <c r="A13" i="2"/>
  <c r="A39" i="5"/>
  <c r="C2" i="4"/>
  <c r="D2" i="4"/>
  <c r="C11" i="4"/>
  <c r="D11" i="4"/>
  <c r="C10" i="4"/>
  <c r="D10" i="4"/>
  <c r="C9" i="4"/>
  <c r="D9" i="4"/>
  <c r="C8" i="4"/>
  <c r="D8" i="4"/>
  <c r="A38" i="5"/>
  <c r="A12" i="2"/>
  <c r="A3" i="2"/>
  <c r="A4" i="2"/>
  <c r="A5" i="2"/>
  <c r="A6" i="2"/>
  <c r="A7" i="2"/>
  <c r="A8" i="2"/>
  <c r="A9" i="2"/>
  <c r="A10" i="2"/>
  <c r="A11" i="2"/>
  <c r="A2" i="2"/>
  <c r="A37" i="5"/>
  <c r="D3" i="7"/>
  <c r="D5" i="7"/>
  <c r="D6" i="7"/>
  <c r="D7" i="7"/>
  <c r="D8" i="7"/>
  <c r="D10" i="7"/>
  <c r="D11" i="7"/>
  <c r="D12" i="7"/>
  <c r="D13" i="7"/>
  <c r="D14" i="7"/>
  <c r="D15" i="7"/>
  <c r="D16" i="7"/>
  <c r="D17" i="7"/>
  <c r="D22" i="7"/>
  <c r="D23" i="7"/>
  <c r="D24" i="7"/>
  <c r="D27" i="7"/>
  <c r="D28" i="7"/>
  <c r="D30" i="7"/>
  <c r="D31" i="7"/>
  <c r="D32" i="7"/>
  <c r="D33" i="7"/>
  <c r="D36" i="7"/>
  <c r="D37" i="7"/>
  <c r="D38" i="7"/>
  <c r="D2" i="7"/>
  <c r="A38" i="7"/>
  <c r="A37" i="7"/>
  <c r="F1" i="8" a="1"/>
  <c r="E6" i="4" l="1"/>
  <c r="E5" i="4"/>
  <c r="E4" i="4"/>
  <c r="E3" i="4"/>
  <c r="E13" i="4"/>
  <c r="H18" i="6"/>
  <c r="H20" i="6"/>
  <c r="H17" i="6"/>
  <c r="H21" i="6"/>
  <c r="H19" i="6"/>
  <c r="H15" i="6"/>
  <c r="H16" i="6"/>
  <c r="H14" i="6"/>
  <c r="H13" i="6"/>
  <c r="H12" i="6"/>
  <c r="E2" i="4"/>
  <c r="E11" i="4"/>
  <c r="E10" i="4"/>
  <c r="E9" i="4"/>
  <c r="E8" i="4"/>
  <c r="F1" i="8"/>
  <c r="A36" i="7"/>
  <c r="A35" i="7"/>
  <c r="A11" i="6"/>
  <c r="C11" i="6"/>
  <c r="D11" i="6"/>
  <c r="E11" i="6"/>
  <c r="F11" i="6"/>
  <c r="G11" i="6"/>
  <c r="A10" i="6"/>
  <c r="C10" i="6"/>
  <c r="D10" i="6"/>
  <c r="E10" i="6"/>
  <c r="F10" i="6"/>
  <c r="G10" i="6"/>
  <c r="A9" i="6"/>
  <c r="C9" i="6"/>
  <c r="D9" i="6"/>
  <c r="E9" i="6"/>
  <c r="F9" i="6"/>
  <c r="G9" i="6"/>
  <c r="A8" i="6"/>
  <c r="C8" i="6"/>
  <c r="D8" i="6"/>
  <c r="E8" i="6"/>
  <c r="F8" i="6"/>
  <c r="G8" i="6"/>
  <c r="A7" i="6"/>
  <c r="C7" i="6"/>
  <c r="D7" i="6"/>
  <c r="E7" i="6"/>
  <c r="F7" i="6"/>
  <c r="G7" i="6"/>
  <c r="A6" i="6"/>
  <c r="C6" i="6"/>
  <c r="D6" i="6"/>
  <c r="E6" i="6"/>
  <c r="F6" i="6"/>
  <c r="G6" i="6"/>
  <c r="A34" i="7"/>
  <c r="A32" i="7"/>
  <c r="A33" i="7"/>
  <c r="A11" i="3"/>
  <c r="A10" i="3"/>
  <c r="A31" i="7"/>
  <c r="A36" i="5"/>
  <c r="A35" i="5"/>
  <c r="A30" i="7"/>
  <c r="A29" i="7"/>
  <c r="A34" i="5"/>
  <c r="A33" i="5"/>
  <c r="A30" i="5"/>
  <c r="C7" i="4"/>
  <c r="D7" i="4"/>
  <c r="H11" i="6" l="1"/>
  <c r="H10" i="6"/>
  <c r="H9" i="6"/>
  <c r="H8" i="6"/>
  <c r="H7" i="6"/>
  <c r="H6" i="6"/>
  <c r="E7" i="4"/>
  <c r="A32" i="5"/>
  <c r="A31" i="5"/>
  <c r="A28" i="7"/>
  <c r="A25" i="7"/>
  <c r="A5" i="6"/>
  <c r="C5" i="6"/>
  <c r="D5" i="6"/>
  <c r="E5" i="6"/>
  <c r="F5" i="6"/>
  <c r="G5" i="6"/>
  <c r="A9" i="3"/>
  <c r="A8" i="3"/>
  <c r="A27" i="7"/>
  <c r="A29" i="5"/>
  <c r="A28" i="5"/>
  <c r="C12" i="4"/>
  <c r="D12" i="4"/>
  <c r="A27" i="5"/>
  <c r="A26" i="5"/>
  <c r="A26" i="7"/>
  <c r="A25" i="5"/>
  <c r="A24" i="5"/>
  <c r="A23" i="5"/>
  <c r="A22" i="5"/>
  <c r="A21" i="5"/>
  <c r="A24" i="7"/>
  <c r="A23" i="7"/>
  <c r="A22" i="7"/>
  <c r="A21" i="7"/>
  <c r="A20" i="7"/>
  <c r="A19" i="7"/>
  <c r="A18" i="7"/>
  <c r="A17" i="7"/>
  <c r="A7" i="3"/>
  <c r="A6" i="3"/>
  <c r="A20" i="5"/>
  <c r="A16" i="7"/>
  <c r="A15" i="7"/>
  <c r="E12" i="4" l="1"/>
  <c r="H5" i="6"/>
  <c r="A19" i="5"/>
  <c r="A18" i="5"/>
  <c r="A17" i="5"/>
  <c r="A16" i="5"/>
  <c r="A15" i="5"/>
  <c r="A11" i="7"/>
  <c r="A14" i="7"/>
  <c r="A13" i="7"/>
  <c r="A12" i="7" l="1"/>
  <c r="A5" i="3"/>
  <c r="A14" i="5"/>
  <c r="A9" i="7"/>
  <c r="A10" i="7"/>
  <c r="A8" i="7"/>
  <c r="A7" i="7"/>
  <c r="A4" i="6"/>
  <c r="C4" i="6"/>
  <c r="D4" i="6"/>
  <c r="E4" i="6"/>
  <c r="F4" i="6"/>
  <c r="G4" i="6"/>
  <c r="A3" i="6"/>
  <c r="C3" i="6"/>
  <c r="D3" i="6"/>
  <c r="E3" i="6"/>
  <c r="F3" i="6"/>
  <c r="G3" i="6"/>
  <c r="A4" i="3"/>
  <c r="A3" i="3"/>
  <c r="A13" i="5"/>
  <c r="A12" i="5"/>
  <c r="A11" i="5"/>
  <c r="A10" i="5"/>
  <c r="A6" i="7"/>
  <c r="H3" i="6" l="1"/>
  <c r="H4" i="6"/>
  <c r="A5" i="7"/>
  <c r="A9" i="5"/>
  <c r="A8" i="5"/>
  <c r="G2" i="6"/>
  <c r="F2" i="6"/>
  <c r="E2" i="6"/>
  <c r="D2" i="6"/>
  <c r="A4" i="7"/>
  <c r="A3" i="7"/>
  <c r="C2" i="6"/>
  <c r="A7" i="5"/>
  <c r="A6" i="5"/>
  <c r="A5" i="5"/>
  <c r="D14" i="4"/>
  <c r="A4" i="5"/>
  <c r="A3" i="5"/>
  <c r="H2" i="6" l="1"/>
  <c r="A2" i="7" l="1"/>
  <c r="A2" i="6"/>
  <c r="A2" i="3"/>
  <c r="A2" i="5"/>
  <c r="C14" i="4"/>
  <c r="E14" i="4" s="1"/>
  <c r="K5" i="1" a="1"/>
  <c r="L5" i="1" a="1"/>
  <c r="J5" i="1" a="1"/>
  <c r="L5" i="1" l="1"/>
  <c r="K5" i="1"/>
  <c r="J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<sst xmlns="http://schemas.openxmlformats.org/spreadsheetml/2006/main" count="1790" uniqueCount="726">
  <si>
    <t>Department Name</t>
  </si>
  <si>
    <t>Consumable &amp; Recurring Item</t>
  </si>
  <si>
    <t>Computer Equipment</t>
  </si>
  <si>
    <t>Boiler</t>
  </si>
  <si>
    <t>Printer Toner HP 88A Black</t>
  </si>
  <si>
    <t>Keyboard Wired</t>
  </si>
  <si>
    <t>Production</t>
  </si>
  <si>
    <t>Printer Toner Canon 12A Black</t>
  </si>
  <si>
    <t>Mouse Wired</t>
  </si>
  <si>
    <t>Do not Delete OR Change</t>
  </si>
  <si>
    <t>PD Lab</t>
  </si>
  <si>
    <t>Wireless Keyboard</t>
  </si>
  <si>
    <t>HR</t>
  </si>
  <si>
    <t>Wireless Mouse</t>
  </si>
  <si>
    <t>QC &amp; QA</t>
  </si>
  <si>
    <t>Mouse Pad</t>
  </si>
  <si>
    <t>Project</t>
  </si>
  <si>
    <t>Electrical</t>
  </si>
  <si>
    <t>Maintenance</t>
  </si>
  <si>
    <t>Quality Control</t>
  </si>
  <si>
    <t>Accounts</t>
  </si>
  <si>
    <t>Admin</t>
  </si>
  <si>
    <t>EHS</t>
  </si>
  <si>
    <t>Utility</t>
  </si>
  <si>
    <t>Store</t>
  </si>
  <si>
    <t>Technical Services</t>
  </si>
  <si>
    <t>SCM</t>
  </si>
  <si>
    <t>Purchase</t>
  </si>
  <si>
    <t>Instrument</t>
  </si>
  <si>
    <t>Environment</t>
  </si>
  <si>
    <t>Quality Assurance</t>
  </si>
  <si>
    <t>IT</t>
  </si>
  <si>
    <t>Engineering</t>
  </si>
  <si>
    <t>Operation</t>
  </si>
  <si>
    <t>Management</t>
  </si>
  <si>
    <t>Engineering Store</t>
  </si>
  <si>
    <t>Raw Store</t>
  </si>
  <si>
    <t>Security Gate E16</t>
  </si>
  <si>
    <t>Security Gate E22</t>
  </si>
  <si>
    <t>Security Main Gate E17</t>
  </si>
  <si>
    <t>Security Main Gate E18</t>
  </si>
  <si>
    <t>Sr. No</t>
  </si>
  <si>
    <t>Re-Stock Date</t>
  </si>
  <si>
    <t>Item Name</t>
  </si>
  <si>
    <t>Stock</t>
  </si>
  <si>
    <t>Used</t>
  </si>
  <si>
    <t>Spare</t>
  </si>
  <si>
    <t>Sr. No.</t>
  </si>
  <si>
    <t>Use Start Date</t>
  </si>
  <si>
    <t>Use End Date</t>
  </si>
  <si>
    <t>Department/User Name</t>
  </si>
  <si>
    <t>Item Make</t>
  </si>
  <si>
    <t>Qty. Used</t>
  </si>
  <si>
    <t>25-07-2024</t>
  </si>
  <si>
    <t>Sachin Padvwal</t>
  </si>
  <si>
    <t>30-08-2024</t>
  </si>
  <si>
    <t>E22 Utility Room (Vinayak Bagalkatti)</t>
  </si>
  <si>
    <t>E17 Production</t>
  </si>
  <si>
    <t>23-08-2024</t>
  </si>
  <si>
    <t>22-11-2024</t>
  </si>
  <si>
    <t>Return</t>
  </si>
  <si>
    <t>Working</t>
  </si>
  <si>
    <t>Not Working</t>
  </si>
  <si>
    <t>Date</t>
  </si>
  <si>
    <t>Name</t>
  </si>
  <si>
    <t>Department</t>
  </si>
  <si>
    <t>Action</t>
  </si>
  <si>
    <t>Status</t>
  </si>
  <si>
    <t>Given to User</t>
  </si>
  <si>
    <t>25-10-2024</t>
  </si>
  <si>
    <t>Vitthal Thorat</t>
  </si>
  <si>
    <t>23-11-2024</t>
  </si>
  <si>
    <t>27-11-2024</t>
  </si>
  <si>
    <t>E18 Security Gate</t>
  </si>
  <si>
    <t>Suraj Shinde</t>
  </si>
  <si>
    <t>Stack Monitoring PC</t>
  </si>
  <si>
    <t>Processor (CPU) Fan</t>
  </si>
  <si>
    <t>Remark</t>
  </si>
  <si>
    <t>Anand Kanaka Mystery</t>
  </si>
  <si>
    <t>Account</t>
  </si>
  <si>
    <t>Replaced with damaged one</t>
  </si>
  <si>
    <t>Draftsman</t>
  </si>
  <si>
    <t>Canon Pixma Genuine Cartridge 70 Black</t>
  </si>
  <si>
    <t>HDD</t>
  </si>
  <si>
    <t>RAM</t>
  </si>
  <si>
    <t>SMPS</t>
  </si>
  <si>
    <t>SSD (128 GB)</t>
  </si>
  <si>
    <t>SSD (256 GB)</t>
  </si>
  <si>
    <t>Pendrive</t>
  </si>
  <si>
    <t>32 GB Pendrive (for Vitthal Thorat Sir Laptop Backup)</t>
  </si>
  <si>
    <t>E16 Security Gate</t>
  </si>
  <si>
    <t>E17 Instrument</t>
  </si>
  <si>
    <t>Employee Code</t>
  </si>
  <si>
    <t>Full name</t>
  </si>
  <si>
    <t>Designation</t>
  </si>
  <si>
    <t>00005</t>
  </si>
  <si>
    <t>Sandip Nivrutti Jadhav</t>
  </si>
  <si>
    <t>Jr. Officer</t>
  </si>
  <si>
    <t>00006</t>
  </si>
  <si>
    <t>Pandit Mahadeo Hanjage</t>
  </si>
  <si>
    <t>Officer</t>
  </si>
  <si>
    <t>00012</t>
  </si>
  <si>
    <t>Arvind Tanaji Devkar</t>
  </si>
  <si>
    <t>00014</t>
  </si>
  <si>
    <t>Prashant Sukhdev Ingle</t>
  </si>
  <si>
    <t>HR Associate</t>
  </si>
  <si>
    <t>00015</t>
  </si>
  <si>
    <t>Ulhas Dilip Byale</t>
  </si>
  <si>
    <t>Sr. Executive</t>
  </si>
  <si>
    <t>00022</t>
  </si>
  <si>
    <t>Savala Jagannath Kumbhar</t>
  </si>
  <si>
    <t>Executive</t>
  </si>
  <si>
    <t>00030</t>
  </si>
  <si>
    <t>Ravindra Vitthal Kashid</t>
  </si>
  <si>
    <t>00032</t>
  </si>
  <si>
    <t>Shital Ramchandra Sathe</t>
  </si>
  <si>
    <t>Production Associate</t>
  </si>
  <si>
    <t>00035</t>
  </si>
  <si>
    <t>Krishna Balaprasad Kushwaha</t>
  </si>
  <si>
    <t>00039</t>
  </si>
  <si>
    <t>Shrishail Shantappa Mali</t>
  </si>
  <si>
    <t>Jr.Officer</t>
  </si>
  <si>
    <t>00041</t>
  </si>
  <si>
    <t>Arjun Guruling Wale</t>
  </si>
  <si>
    <t>Asst.General Manager</t>
  </si>
  <si>
    <t>00042</t>
  </si>
  <si>
    <t>Amar Dattatray Paul</t>
  </si>
  <si>
    <t>00043</t>
  </si>
  <si>
    <t>Madhukar Balu Kambale</t>
  </si>
  <si>
    <t>Fireman</t>
  </si>
  <si>
    <t>00048</t>
  </si>
  <si>
    <t>Dilip Mahadev Aldar</t>
  </si>
  <si>
    <t>00054</t>
  </si>
  <si>
    <t>Balasaheb Nivrutti Khandeker</t>
  </si>
  <si>
    <t>Maintenance Associate (Mechanical)</t>
  </si>
  <si>
    <t>00056</t>
  </si>
  <si>
    <t>Santosh Madhukar Kavale</t>
  </si>
  <si>
    <t>00057</t>
  </si>
  <si>
    <t>Sandeep Kumar Sonelal Singh</t>
  </si>
  <si>
    <t>00059</t>
  </si>
  <si>
    <t>Vaijinath Hanumant Doke</t>
  </si>
  <si>
    <t>00064</t>
  </si>
  <si>
    <t>Somnath Khushal Mali</t>
  </si>
  <si>
    <t>00068</t>
  </si>
  <si>
    <t>Namdev Navnath Sonne</t>
  </si>
  <si>
    <t>00070</t>
  </si>
  <si>
    <t>Mustajibahmed Jahangir Shaikh</t>
  </si>
  <si>
    <t>00071</t>
  </si>
  <si>
    <t>Vinod Umashankar Nimbalkar</t>
  </si>
  <si>
    <t>Senior Manager</t>
  </si>
  <si>
    <t>00074</t>
  </si>
  <si>
    <t>Shakir Isamil Sayyad</t>
  </si>
  <si>
    <t>00075</t>
  </si>
  <si>
    <t>Avinash Vasant Sathe</t>
  </si>
  <si>
    <t>00077</t>
  </si>
  <si>
    <t>Vijayashri Sidramappa Karande</t>
  </si>
  <si>
    <t>Deputy Manager</t>
  </si>
  <si>
    <t>00086</t>
  </si>
  <si>
    <t>Rakesh Jagdish Kushvah</t>
  </si>
  <si>
    <t>00087</t>
  </si>
  <si>
    <t>Satish Girmal Padasalgi</t>
  </si>
  <si>
    <t>00100</t>
  </si>
  <si>
    <t>Pandurang Kalyan Chougule</t>
  </si>
  <si>
    <t>00101</t>
  </si>
  <si>
    <t>Saudagar Bajirao More</t>
  </si>
  <si>
    <t>00105</t>
  </si>
  <si>
    <t>Shivaji Sugriv Narwade</t>
  </si>
  <si>
    <t>00106</t>
  </si>
  <si>
    <t>Ganesh Vitthal Tadaka</t>
  </si>
  <si>
    <t>00111</t>
  </si>
  <si>
    <t>Ajit Ramchandra Mane</t>
  </si>
  <si>
    <t>00113</t>
  </si>
  <si>
    <t>Vilas Gurunath Birajdar</t>
  </si>
  <si>
    <t>00115</t>
  </si>
  <si>
    <t>Raju Rambilas Tadamali</t>
  </si>
  <si>
    <t>00117</t>
  </si>
  <si>
    <t>Suresh Gurunath Borkar</t>
  </si>
  <si>
    <t>00118</t>
  </si>
  <si>
    <t>Dattatray Ananta Pagade</t>
  </si>
  <si>
    <t>00127</t>
  </si>
  <si>
    <t>Samadhan Rajabhau Patil</t>
  </si>
  <si>
    <t>00131</t>
  </si>
  <si>
    <t>Ram Anand Waghmode</t>
  </si>
  <si>
    <t>Maintenance Associate (Electrical)</t>
  </si>
  <si>
    <t>00134</t>
  </si>
  <si>
    <t>Sandip Namdev Khatal</t>
  </si>
  <si>
    <t>00136</t>
  </si>
  <si>
    <t>Satish Ramdas Reddy</t>
  </si>
  <si>
    <t>00140</t>
  </si>
  <si>
    <t>Mahesh Dhondiba Hanchate</t>
  </si>
  <si>
    <t>Assistant Manager</t>
  </si>
  <si>
    <t>00144</t>
  </si>
  <si>
    <t>Pravinkumar Shankar Patil</t>
  </si>
  <si>
    <t>00159</t>
  </si>
  <si>
    <t>Hanumant Angad Chunge</t>
  </si>
  <si>
    <t>00160</t>
  </si>
  <si>
    <t>Ramchandra Ambadas Waghmare</t>
  </si>
  <si>
    <t>00163</t>
  </si>
  <si>
    <t>Akshay Dashrath Patil</t>
  </si>
  <si>
    <t>00166</t>
  </si>
  <si>
    <t>Anand Shrikant Kanaka</t>
  </si>
  <si>
    <t>00170</t>
  </si>
  <si>
    <t>Sachin Shrikisan Jadhav</t>
  </si>
  <si>
    <t>00171</t>
  </si>
  <si>
    <t>Parshuram Bharat Kokane</t>
  </si>
  <si>
    <t>Utility Associate</t>
  </si>
  <si>
    <t>00173</t>
  </si>
  <si>
    <t>Vishal Vishwanath Dhavan</t>
  </si>
  <si>
    <t>00182</t>
  </si>
  <si>
    <t>Suraj Prakash Shinde</t>
  </si>
  <si>
    <t>00185</t>
  </si>
  <si>
    <t>Ratanesh Jayhind Kumar</t>
  </si>
  <si>
    <t>00186</t>
  </si>
  <si>
    <t>Krishnkumar Bhuneshwar Singh</t>
  </si>
  <si>
    <t>00201</t>
  </si>
  <si>
    <t>Shahnawaz Ahmad Nadaf</t>
  </si>
  <si>
    <t>00203</t>
  </si>
  <si>
    <t>Sameer Abdul Kadar Shaikh</t>
  </si>
  <si>
    <t>00205</t>
  </si>
  <si>
    <t>Santosh Devalu Chavan</t>
  </si>
  <si>
    <t>00217</t>
  </si>
  <si>
    <t>Chandrashekhar Shambhu Shah</t>
  </si>
  <si>
    <t>00220</t>
  </si>
  <si>
    <t>Ajay Jayhind Yadav</t>
  </si>
  <si>
    <t>00222</t>
  </si>
  <si>
    <t>Anand Pandharinath Adalinge</t>
  </si>
  <si>
    <t>00224</t>
  </si>
  <si>
    <t>Bandu Shridhar Patil</t>
  </si>
  <si>
    <t>00234</t>
  </si>
  <si>
    <t>Sarjerav Laxman Mane</t>
  </si>
  <si>
    <t>00237</t>
  </si>
  <si>
    <t>Salim Babu Patil</t>
  </si>
  <si>
    <t>00239</t>
  </si>
  <si>
    <t>Prashant Rajkumar Ghogare</t>
  </si>
  <si>
    <t>00243</t>
  </si>
  <si>
    <t>Dattatray Ravikiran Harkud</t>
  </si>
  <si>
    <t>00245</t>
  </si>
  <si>
    <t>Balbhim Dadarao Kale</t>
  </si>
  <si>
    <t>00252</t>
  </si>
  <si>
    <t>Johnson Joseph Paul</t>
  </si>
  <si>
    <t>00262</t>
  </si>
  <si>
    <t>Khairul Basar Mollah</t>
  </si>
  <si>
    <t>Manager</t>
  </si>
  <si>
    <t>00263</t>
  </si>
  <si>
    <t>Santosh Singeshwar Barma</t>
  </si>
  <si>
    <t>Lab Associate</t>
  </si>
  <si>
    <t>00270</t>
  </si>
  <si>
    <t>Somnath Nana Asabe</t>
  </si>
  <si>
    <t>00272</t>
  </si>
  <si>
    <t>Bharat Nandkumar Gaikwad</t>
  </si>
  <si>
    <t>Forklift Pilot</t>
  </si>
  <si>
    <t>00273</t>
  </si>
  <si>
    <t>Balaji Ganpat Chavan</t>
  </si>
  <si>
    <t>00274</t>
  </si>
  <si>
    <t>Suhas Sunil Sathe</t>
  </si>
  <si>
    <t>00275</t>
  </si>
  <si>
    <t>Mahadev Navnath Kengar</t>
  </si>
  <si>
    <t>Boiler Associate</t>
  </si>
  <si>
    <t>00276</t>
  </si>
  <si>
    <t>Balasaheb Sitaram Shendage</t>
  </si>
  <si>
    <t>00279</t>
  </si>
  <si>
    <t>Akash Mukesh Bandpatte</t>
  </si>
  <si>
    <t>00292</t>
  </si>
  <si>
    <t>Sagar Sadashiv Bhajibhakare</t>
  </si>
  <si>
    <t>00302</t>
  </si>
  <si>
    <t>Pandurang Dagadu Ingale</t>
  </si>
  <si>
    <t>00303</t>
  </si>
  <si>
    <t>Ranjit Sudhakar Patil</t>
  </si>
  <si>
    <t>Data Entry Operator</t>
  </si>
  <si>
    <t>00305</t>
  </si>
  <si>
    <t>Ganesh Shivaji Niture</t>
  </si>
  <si>
    <t>Assistant</t>
  </si>
  <si>
    <t>00307</t>
  </si>
  <si>
    <t>Pramod Sarjerao Shikhare</t>
  </si>
  <si>
    <t>00308</t>
  </si>
  <si>
    <t>Sourabh Subhash Magar</t>
  </si>
  <si>
    <t>00319</t>
  </si>
  <si>
    <t>Nagesh Maruti Pawar</t>
  </si>
  <si>
    <t>00320</t>
  </si>
  <si>
    <t>Surajitsing Panchamsing Raghuvanshi</t>
  </si>
  <si>
    <t>00326</t>
  </si>
  <si>
    <t>Ramesh Hanmant Linbitote</t>
  </si>
  <si>
    <t>00328</t>
  </si>
  <si>
    <t>Sayyad Ieesmaieel Karbhari</t>
  </si>
  <si>
    <t>00330</t>
  </si>
  <si>
    <t>Krushnat Ramdas Ingole</t>
  </si>
  <si>
    <t>00332</t>
  </si>
  <si>
    <t>Pramod Tanaji Koli</t>
  </si>
  <si>
    <t>00339</t>
  </si>
  <si>
    <t>Manik Sarjerao Hasabe</t>
  </si>
  <si>
    <t>00341</t>
  </si>
  <si>
    <t>Pramod Shrikrishna Bhosale</t>
  </si>
  <si>
    <t>00342</t>
  </si>
  <si>
    <t>Amol Prakash Chaudhari</t>
  </si>
  <si>
    <t>00344</t>
  </si>
  <si>
    <t>Vijay Vyankappa Magnur</t>
  </si>
  <si>
    <t>00350</t>
  </si>
  <si>
    <t>Kausar Abdul Rajjak Sayyad</t>
  </si>
  <si>
    <t>General Manager</t>
  </si>
  <si>
    <t>00360</t>
  </si>
  <si>
    <t>Navanath Arjun Shep</t>
  </si>
  <si>
    <t>00361</t>
  </si>
  <si>
    <t>Daulatrao Balasaheb Patil</t>
  </si>
  <si>
    <t>00364</t>
  </si>
  <si>
    <t>Basawaraj Sanjay Swami</t>
  </si>
  <si>
    <t>00365</t>
  </si>
  <si>
    <t>Vikas Kashinath Kale</t>
  </si>
  <si>
    <t>Dy. Manager</t>
  </si>
  <si>
    <t>00366</t>
  </si>
  <si>
    <t>Abdul Afsar Shaikh</t>
  </si>
  <si>
    <t>00370</t>
  </si>
  <si>
    <t>Ajhar Akbar Shaikh</t>
  </si>
  <si>
    <t>00374</t>
  </si>
  <si>
    <t>Pradeep Shrikisan Jadhav</t>
  </si>
  <si>
    <t>00379</t>
  </si>
  <si>
    <t>Yogesh Laxmaiah Ailolla</t>
  </si>
  <si>
    <t>00380</t>
  </si>
  <si>
    <t>Amir Abbasali Pathan</t>
  </si>
  <si>
    <t>00381</t>
  </si>
  <si>
    <t>Adinath Bhojling Sonavane</t>
  </si>
  <si>
    <t>00383</t>
  </si>
  <si>
    <t>Siddeshwar Mahadev More</t>
  </si>
  <si>
    <t>00387</t>
  </si>
  <si>
    <t>Samadhan Kalyan Wabale</t>
  </si>
  <si>
    <t>00389</t>
  </si>
  <si>
    <t>Amol Shrinivas Adaki</t>
  </si>
  <si>
    <t>00391</t>
  </si>
  <si>
    <t>Mahadev Balu Fand</t>
  </si>
  <si>
    <t>00393</t>
  </si>
  <si>
    <t>Amarnath Suresh Karpe</t>
  </si>
  <si>
    <t>00394</t>
  </si>
  <si>
    <t>Navanath Tukaram Salunkhe</t>
  </si>
  <si>
    <t>Maintenance Associate (Instrument)</t>
  </si>
  <si>
    <t>00398</t>
  </si>
  <si>
    <t>Taufik M Hanif Shaikh</t>
  </si>
  <si>
    <t>00399</t>
  </si>
  <si>
    <t>Sangram Shrikant Dhavane</t>
  </si>
  <si>
    <t>Store Associate</t>
  </si>
  <si>
    <t>00400</t>
  </si>
  <si>
    <t>Tukaram Vitthal Rajmane</t>
  </si>
  <si>
    <t>Tanker Unloader</t>
  </si>
  <si>
    <t>00402</t>
  </si>
  <si>
    <t>Sachin Jyotiram Kusekar</t>
  </si>
  <si>
    <t>00407</t>
  </si>
  <si>
    <t>Vijaykumar Bhimashankar Gurao</t>
  </si>
  <si>
    <t>00413</t>
  </si>
  <si>
    <t>Dipak Tulshiram Tiwarase</t>
  </si>
  <si>
    <t>00414</t>
  </si>
  <si>
    <t>Rahul Sanjivan Kharadkar</t>
  </si>
  <si>
    <t>00418</t>
  </si>
  <si>
    <t>Sudarshan Indrajit Jadhav</t>
  </si>
  <si>
    <t>00422</t>
  </si>
  <si>
    <t>Channappa Sanganna Balundagi</t>
  </si>
  <si>
    <t>00423</t>
  </si>
  <si>
    <t>Shivaji Pandurang Raut</t>
  </si>
  <si>
    <t>00428</t>
  </si>
  <si>
    <t>Shekhar Uttareshwar Madiwal</t>
  </si>
  <si>
    <t>00429</t>
  </si>
  <si>
    <t>Sanket Udaysinh Deshmukh</t>
  </si>
  <si>
    <t>00430</t>
  </si>
  <si>
    <t>Sameer Ansar Sayyad</t>
  </si>
  <si>
    <t>00437</t>
  </si>
  <si>
    <t>Shahir Prabhakar Vadaje</t>
  </si>
  <si>
    <t>00444</t>
  </si>
  <si>
    <t>Rameshwar Baburao Rukke</t>
  </si>
  <si>
    <t>00451</t>
  </si>
  <si>
    <t>Deepak Ravindra Mahajan</t>
  </si>
  <si>
    <t>00453</t>
  </si>
  <si>
    <t>Ravi Balasaheb Maske</t>
  </si>
  <si>
    <t>00454</t>
  </si>
  <si>
    <t>Dipak Sudam Gund</t>
  </si>
  <si>
    <t>DCS Executive</t>
  </si>
  <si>
    <t>00469</t>
  </si>
  <si>
    <t>Shubham Abasaheb Nehul</t>
  </si>
  <si>
    <t>00470</t>
  </si>
  <si>
    <t>Santosh Vilas Shinde</t>
  </si>
  <si>
    <t>00473</t>
  </si>
  <si>
    <t>Bhagyawan Chandrakant Gaikwad</t>
  </si>
  <si>
    <t>00476</t>
  </si>
  <si>
    <t>Dhirajkumar Shivaji Hadule</t>
  </si>
  <si>
    <t>00477</t>
  </si>
  <si>
    <t>Shrinivas Vyankatesh Wakitol</t>
  </si>
  <si>
    <t>00480</t>
  </si>
  <si>
    <t>Vikas Raghunath Yete</t>
  </si>
  <si>
    <t>00486</t>
  </si>
  <si>
    <t>Krishna Kumar Chandrika Yadav</t>
  </si>
  <si>
    <t>00487</t>
  </si>
  <si>
    <t>Pravinsing Onkarsing Pardeshi</t>
  </si>
  <si>
    <t>00489</t>
  </si>
  <si>
    <t>Prathmesh Balkrishna Patil</t>
  </si>
  <si>
    <t>00491</t>
  </si>
  <si>
    <t>Govind Maroti Tate</t>
  </si>
  <si>
    <t>00494</t>
  </si>
  <si>
    <t>Saifan Dadalal Patel</t>
  </si>
  <si>
    <t>00501</t>
  </si>
  <si>
    <t>Bhagavan Vishnu Bhange</t>
  </si>
  <si>
    <t>00502</t>
  </si>
  <si>
    <t>Omkar Rachayya Swami</t>
  </si>
  <si>
    <t>00503</t>
  </si>
  <si>
    <t>Bhushan Ganesh Chaudhari</t>
  </si>
  <si>
    <t>00504</t>
  </si>
  <si>
    <t>Raju Natu Rathod</t>
  </si>
  <si>
    <t>00511</t>
  </si>
  <si>
    <t>Kishor Bhausaheb Hapase</t>
  </si>
  <si>
    <t>00514</t>
  </si>
  <si>
    <t>Sharad Balaji Gaikwad</t>
  </si>
  <si>
    <t>00516</t>
  </si>
  <si>
    <t>Shivraj Parmeshwar Dahitane</t>
  </si>
  <si>
    <t>00517</t>
  </si>
  <si>
    <t>Ajay Matadeen Kushwaha</t>
  </si>
  <si>
    <t>00520</t>
  </si>
  <si>
    <t>Sunil Bhivaji Bhosale</t>
  </si>
  <si>
    <t>00526</t>
  </si>
  <si>
    <t>Preetamkumar Sunil Abute</t>
  </si>
  <si>
    <t>00529</t>
  </si>
  <si>
    <t>Durgappa Hanamant Pawar</t>
  </si>
  <si>
    <t>00530</t>
  </si>
  <si>
    <t>Pruthviraj Gorakh Jadhav</t>
  </si>
  <si>
    <t>00543</t>
  </si>
  <si>
    <t>Dayanand Rajshekhar Majage</t>
  </si>
  <si>
    <t>00545</t>
  </si>
  <si>
    <t>Anil Arun Satav</t>
  </si>
  <si>
    <t>00549</t>
  </si>
  <si>
    <t>Nandan Madan Kodarkar</t>
  </si>
  <si>
    <t>DCS Officer</t>
  </si>
  <si>
    <t>00556</t>
  </si>
  <si>
    <t>Avinash Kundlik Deokar</t>
  </si>
  <si>
    <t>00559</t>
  </si>
  <si>
    <t>Pintu Dhanu Rathod</t>
  </si>
  <si>
    <t>00561</t>
  </si>
  <si>
    <t>Dhananjay Venkatesh Konda</t>
  </si>
  <si>
    <t>00562</t>
  </si>
  <si>
    <t>Ravi Babasaheb Chandanshive</t>
  </si>
  <si>
    <t>00563</t>
  </si>
  <si>
    <t>Sachin Ramchandra Bansode</t>
  </si>
  <si>
    <t>00565</t>
  </si>
  <si>
    <t>Shrivallabh Vilas Gosavi</t>
  </si>
  <si>
    <t>00566</t>
  </si>
  <si>
    <t>Pankaj Parmeshwar Bagal</t>
  </si>
  <si>
    <t>00567</t>
  </si>
  <si>
    <t>Rohit Shivaji Kamble</t>
  </si>
  <si>
    <t>00576</t>
  </si>
  <si>
    <t>Vishal Meninath Waybhase</t>
  </si>
  <si>
    <t>00578</t>
  </si>
  <si>
    <t>Shubham Bhagwan Sanap</t>
  </si>
  <si>
    <t>00580</t>
  </si>
  <si>
    <t>Sachin Siddharam Konade</t>
  </si>
  <si>
    <t>00586</t>
  </si>
  <si>
    <t>Nitesh Ishwar Mahadik</t>
  </si>
  <si>
    <t>00587</t>
  </si>
  <si>
    <t>Divyaratna Rupchand Dhanwade Mokashi</t>
  </si>
  <si>
    <t>00589</t>
  </si>
  <si>
    <t>Rajkumar Mallikarjun Wagdari</t>
  </si>
  <si>
    <t>00593</t>
  </si>
  <si>
    <t>Dnyaneshwar Prakash Chathe</t>
  </si>
  <si>
    <t>00594</t>
  </si>
  <si>
    <t>Ritesh Satyavijay Chimote</t>
  </si>
  <si>
    <t>00596</t>
  </si>
  <si>
    <t>Rahul Bhima Jadhav</t>
  </si>
  <si>
    <t>00598</t>
  </si>
  <si>
    <t>Tohid Akbar Mulani</t>
  </si>
  <si>
    <t>00599</t>
  </si>
  <si>
    <t>Parmeshwar Nagappa Barse</t>
  </si>
  <si>
    <t>00600</t>
  </si>
  <si>
    <t>Rushikesh Vinod Powar</t>
  </si>
  <si>
    <t>00602</t>
  </si>
  <si>
    <t>Vinayak Shivaji Dorage</t>
  </si>
  <si>
    <t>00603</t>
  </si>
  <si>
    <t>Dattatray Deepak Chavan</t>
  </si>
  <si>
    <t>00604</t>
  </si>
  <si>
    <t>Vinayak Shankar Bagalatti</t>
  </si>
  <si>
    <t>00605</t>
  </si>
  <si>
    <t>Avinash Hanmantu Naik</t>
  </si>
  <si>
    <t>00606</t>
  </si>
  <si>
    <t>Parmeshwar Mohan Kumbhar</t>
  </si>
  <si>
    <t>00607</t>
  </si>
  <si>
    <t>Sachin Shivasharan Chhure</t>
  </si>
  <si>
    <t>00609</t>
  </si>
  <si>
    <t>Jairaj Meghraj Bhogade</t>
  </si>
  <si>
    <t>00611</t>
  </si>
  <si>
    <t>Pandurang Satish Jadhav</t>
  </si>
  <si>
    <t>00612</t>
  </si>
  <si>
    <t>Vishal Tukaram Gadekar</t>
  </si>
  <si>
    <t>00614</t>
  </si>
  <si>
    <t>Shivaji Ananda Kadam</t>
  </si>
  <si>
    <t>00615</t>
  </si>
  <si>
    <t>Santosh Annarao Birajdar</t>
  </si>
  <si>
    <t>00616</t>
  </si>
  <si>
    <t>Satishkumar Sidramappa Devdurgkar</t>
  </si>
  <si>
    <t>00617</t>
  </si>
  <si>
    <t>Laxmikant Sharanbasappa Kapase</t>
  </si>
  <si>
    <t>00618</t>
  </si>
  <si>
    <t>Vitthal Bharat Gaikwad</t>
  </si>
  <si>
    <t>00620</t>
  </si>
  <si>
    <t>Ganesh Maruti More</t>
  </si>
  <si>
    <t>00621</t>
  </si>
  <si>
    <t>Shivsharan Shivanand Koli</t>
  </si>
  <si>
    <t>00622</t>
  </si>
  <si>
    <t>Hruthik Raju Nigade</t>
  </si>
  <si>
    <t>00623</t>
  </si>
  <si>
    <t>Arvind Dasu Doke</t>
  </si>
  <si>
    <t>00624</t>
  </si>
  <si>
    <t>Vishnu Dinkar Nanaware</t>
  </si>
  <si>
    <t>00625</t>
  </si>
  <si>
    <t>Sachin Tukaram Bodake</t>
  </si>
  <si>
    <t>00626</t>
  </si>
  <si>
    <t>Tushar Dipak Panshetti</t>
  </si>
  <si>
    <t>Technician</t>
  </si>
  <si>
    <t>00627</t>
  </si>
  <si>
    <t>Mustak Javid Mujawar</t>
  </si>
  <si>
    <t>00628</t>
  </si>
  <si>
    <t>Sahil Tamjodin Kazi</t>
  </si>
  <si>
    <t>00629</t>
  </si>
  <si>
    <t>Akshay Ambadas Baddal</t>
  </si>
  <si>
    <t>00630</t>
  </si>
  <si>
    <t>Kannan Ramanathan</t>
  </si>
  <si>
    <t>Sr.Vice President</t>
  </si>
  <si>
    <t>00631</t>
  </si>
  <si>
    <t>Nilesh Ankush Avhad</t>
  </si>
  <si>
    <t>00634</t>
  </si>
  <si>
    <t>Akash Abhimanu Kadam</t>
  </si>
  <si>
    <t>00635</t>
  </si>
  <si>
    <t>Keshav Sunil Wadne</t>
  </si>
  <si>
    <t>00636</t>
  </si>
  <si>
    <t>Sudhakar Shivanand Bamchande</t>
  </si>
  <si>
    <t>00637</t>
  </si>
  <si>
    <t>Kishor Mahadev Patil</t>
  </si>
  <si>
    <t>00638</t>
  </si>
  <si>
    <t>Irfan Pappu Shaikh</t>
  </si>
  <si>
    <t>00639</t>
  </si>
  <si>
    <t>Rahul Bhagwat Dhakane</t>
  </si>
  <si>
    <t>00640</t>
  </si>
  <si>
    <t>Pramod Mahadev Gavhane</t>
  </si>
  <si>
    <t>00641</t>
  </si>
  <si>
    <t>Dipak Santosh Jagtap</t>
  </si>
  <si>
    <t>00642</t>
  </si>
  <si>
    <t>Samir Hamid Mulani</t>
  </si>
  <si>
    <t>00644</t>
  </si>
  <si>
    <t>Prem Parshuram Hole</t>
  </si>
  <si>
    <t>00645</t>
  </si>
  <si>
    <t>Kaushal Bhagwat Gadekar</t>
  </si>
  <si>
    <t>00646</t>
  </si>
  <si>
    <t>Umesh Ramchandra Waichal</t>
  </si>
  <si>
    <t>00647</t>
  </si>
  <si>
    <t>Samir Nabilal Shaikh</t>
  </si>
  <si>
    <t>00648</t>
  </si>
  <si>
    <t>Vishal Ganpat Koli</t>
  </si>
  <si>
    <t>00649</t>
  </si>
  <si>
    <t>Ramhari Sudam Nawale</t>
  </si>
  <si>
    <t>00651</t>
  </si>
  <si>
    <t>Sagar Govardhan Thorat</t>
  </si>
  <si>
    <t>00652</t>
  </si>
  <si>
    <t>Vishvajit Shivdas Nalawade</t>
  </si>
  <si>
    <t>00653</t>
  </si>
  <si>
    <t>Piyush Dhanrajji Kapse</t>
  </si>
  <si>
    <t>00654</t>
  </si>
  <si>
    <t>Kailas Eknath Adhav</t>
  </si>
  <si>
    <t>00655</t>
  </si>
  <si>
    <t>Laxman Hanuman Kardile</t>
  </si>
  <si>
    <t>00656</t>
  </si>
  <si>
    <t>Mahesh Kisan Gadakh</t>
  </si>
  <si>
    <t>00657</t>
  </si>
  <si>
    <t>Laxman Rajendra Raut</t>
  </si>
  <si>
    <t>00658</t>
  </si>
  <si>
    <t>Nagnath Ankush Shinde</t>
  </si>
  <si>
    <t>00659</t>
  </si>
  <si>
    <t>Shaktiprasad Nagnath Jagtap</t>
  </si>
  <si>
    <t>00661</t>
  </si>
  <si>
    <t>Nageshwar Dashrath Pawar</t>
  </si>
  <si>
    <t>00662</t>
  </si>
  <si>
    <t>Ashutosh Dattatray Chaugule</t>
  </si>
  <si>
    <t>00664</t>
  </si>
  <si>
    <t>Vikas Sudhir Masalkar</t>
  </si>
  <si>
    <t>00665</t>
  </si>
  <si>
    <t>Vikas Baburao Kursule</t>
  </si>
  <si>
    <t>00666</t>
  </si>
  <si>
    <t>Ganesh Balasaheb Pol</t>
  </si>
  <si>
    <t>00667</t>
  </si>
  <si>
    <t>Shivanand Shashikant Warang</t>
  </si>
  <si>
    <t>00668</t>
  </si>
  <si>
    <t>Vinayak Kumar Pawar</t>
  </si>
  <si>
    <t>Chemist</t>
  </si>
  <si>
    <t>00669</t>
  </si>
  <si>
    <t>Akshay Sambhaji Thakur</t>
  </si>
  <si>
    <t>00673</t>
  </si>
  <si>
    <t>Arjun Chediram Rajbhar</t>
  </si>
  <si>
    <t>00674</t>
  </si>
  <si>
    <t>Shital Nagnath Sindagi</t>
  </si>
  <si>
    <t>Executive Assistant</t>
  </si>
  <si>
    <t>00676</t>
  </si>
  <si>
    <t>Shivam Pardeep Gawali</t>
  </si>
  <si>
    <t>00677</t>
  </si>
  <si>
    <t>Dipesh Daji Gaikwad</t>
  </si>
  <si>
    <t>00678</t>
  </si>
  <si>
    <t>Tulashiram Shivaji Mote</t>
  </si>
  <si>
    <t>00679</t>
  </si>
  <si>
    <t>Nagesh Sharanappa Gangade</t>
  </si>
  <si>
    <t>00680</t>
  </si>
  <si>
    <t>Amol Balu Darekar</t>
  </si>
  <si>
    <t>00681</t>
  </si>
  <si>
    <t>Santosh Vitthal Barkule</t>
  </si>
  <si>
    <t>00682</t>
  </si>
  <si>
    <t>Aditya Chandrakant Wandhekar</t>
  </si>
  <si>
    <t>00683</t>
  </si>
  <si>
    <t>Shreekant Sambhaji Sawant</t>
  </si>
  <si>
    <t>00684</t>
  </si>
  <si>
    <t>Sharad Hambirao Chaudhari</t>
  </si>
  <si>
    <t>00685</t>
  </si>
  <si>
    <t>Vaibhav Subhash Gandhi</t>
  </si>
  <si>
    <t>00686</t>
  </si>
  <si>
    <t>Nilesh Pandharinath Kasabe</t>
  </si>
  <si>
    <t>00687</t>
  </si>
  <si>
    <t>Pravin Shankar Gund</t>
  </si>
  <si>
    <t>00688</t>
  </si>
  <si>
    <t>Mahesh Laxman Wandhekar</t>
  </si>
  <si>
    <t>00689</t>
  </si>
  <si>
    <t>Vaibhav Vitthal Jagtap</t>
  </si>
  <si>
    <t>00690</t>
  </si>
  <si>
    <t>Shahrukh Siraj Sayyad</t>
  </si>
  <si>
    <t>00691</t>
  </si>
  <si>
    <t>Suresh Tara Chand Gupta</t>
  </si>
  <si>
    <t>00692</t>
  </si>
  <si>
    <t>Sahil Pramod Ujgare</t>
  </si>
  <si>
    <t>00693</t>
  </si>
  <si>
    <t>Krishna Jagan Kapure</t>
  </si>
  <si>
    <t>00694</t>
  </si>
  <si>
    <t>Prashant Dattatray Polkat</t>
  </si>
  <si>
    <t>00695</t>
  </si>
  <si>
    <t>Tushar Ramdas Mote</t>
  </si>
  <si>
    <t>01027</t>
  </si>
  <si>
    <t>Sachin Chandrakant Padwal</t>
  </si>
  <si>
    <t>D0002</t>
  </si>
  <si>
    <t>Vikas Mangilal Shah</t>
  </si>
  <si>
    <t>Director</t>
  </si>
  <si>
    <t>Dhiraj Mane</t>
  </si>
  <si>
    <t>Epson 003 Black Ink Bottle</t>
  </si>
  <si>
    <t>Epson 003 Cyan Ink Bottle</t>
  </si>
  <si>
    <t>Epson 003 Magenta Ink Bottle</t>
  </si>
  <si>
    <t>Epson 003 Yellow Ink Bottle</t>
  </si>
  <si>
    <t>Brother Printer Toner Cartridge (Model HL-L2321D)</t>
  </si>
  <si>
    <t>External HDD</t>
  </si>
  <si>
    <t>External SSD</t>
  </si>
  <si>
    <t>VGA TO HDMI CONVERTOR</t>
  </si>
  <si>
    <t>COMPUTER MOUSE PAD</t>
  </si>
  <si>
    <t>POWER CORD</t>
  </si>
  <si>
    <t>COMPUTER CMOS CELL</t>
  </si>
  <si>
    <t>LAPTOP BATTERY</t>
  </si>
  <si>
    <t>POWER ADAPTER</t>
  </si>
  <si>
    <t>E17 Instrument (in DCS Room)</t>
  </si>
  <si>
    <t>Network Switch</t>
  </si>
  <si>
    <t>Sachin Sir Cabin</t>
  </si>
  <si>
    <t>Printer Toner Cartridge 166A</t>
  </si>
  <si>
    <t>00696</t>
  </si>
  <si>
    <t>Mayur Madhukar Shinde</t>
  </si>
  <si>
    <t>00701</t>
  </si>
  <si>
    <t>Shivam Subhash Pangarekar</t>
  </si>
  <si>
    <t>00702</t>
  </si>
  <si>
    <t>Yashvant Harishchandra Bandgar</t>
  </si>
  <si>
    <t>00703</t>
  </si>
  <si>
    <t>Akshay Prakash Darkunde</t>
  </si>
  <si>
    <t>00705</t>
  </si>
  <si>
    <t>Aashish Shamrao Mundhe</t>
  </si>
  <si>
    <t>00706</t>
  </si>
  <si>
    <t>Atharv Shriram Adsul</t>
  </si>
  <si>
    <t>00707</t>
  </si>
  <si>
    <t>Jayant Swamirao Salunke</t>
  </si>
  <si>
    <t>00708</t>
  </si>
  <si>
    <t>Prasad Parshuram Chavan</t>
  </si>
  <si>
    <t>00709</t>
  </si>
  <si>
    <t>Prakash Govardhan Zendage</t>
  </si>
  <si>
    <t>00710</t>
  </si>
  <si>
    <t>Bappu Pandurang Gaikwad</t>
  </si>
  <si>
    <t>00711</t>
  </si>
  <si>
    <t>Vinay Santosh Waghmode</t>
  </si>
  <si>
    <t>00712</t>
  </si>
  <si>
    <t>Sanket Dattatray Gavli</t>
  </si>
  <si>
    <t>00713</t>
  </si>
  <si>
    <t>Pravin Sadanand Nakka</t>
  </si>
  <si>
    <t>00714</t>
  </si>
  <si>
    <t>Sushant Popat Masane</t>
  </si>
  <si>
    <t>Asst. Manager</t>
  </si>
  <si>
    <t>00715</t>
  </si>
  <si>
    <t>Niranjan Rajendra Mohite</t>
  </si>
  <si>
    <t>00716</t>
  </si>
  <si>
    <t>Ratan Dadaso Sonavale</t>
  </si>
  <si>
    <t>00717</t>
  </si>
  <si>
    <t>Shivaraj Ashok Jamunkar</t>
  </si>
  <si>
    <t>00718</t>
  </si>
  <si>
    <t>Pranit Dagadu Kadam</t>
  </si>
  <si>
    <t>00719</t>
  </si>
  <si>
    <t>Eknath Balu Avtade</t>
  </si>
  <si>
    <t>00720</t>
  </si>
  <si>
    <t>Vijay Haridas Pawar</t>
  </si>
  <si>
    <t>00721</t>
  </si>
  <si>
    <t>Sunil Sanjay Chanmal</t>
  </si>
  <si>
    <t>00722</t>
  </si>
  <si>
    <t>Mahesh Siddheshwar Jadhav</t>
  </si>
  <si>
    <t>00723</t>
  </si>
  <si>
    <t>Pravin Shantaram Deshmukh</t>
  </si>
  <si>
    <t>Assistant Vice President</t>
  </si>
  <si>
    <t>00724</t>
  </si>
  <si>
    <t>Jitendra Balkrushna Navarkar</t>
  </si>
  <si>
    <t>00725</t>
  </si>
  <si>
    <t>Arvind Kumar Rameshwar Prasad</t>
  </si>
  <si>
    <t>00726</t>
  </si>
  <si>
    <t>Vikas Vaman Chavan</t>
  </si>
  <si>
    <t>00727</t>
  </si>
  <si>
    <t>Nikhil Gopal Jadhav</t>
  </si>
  <si>
    <t>00728</t>
  </si>
  <si>
    <t>Parth Shrikant Yadhav</t>
  </si>
  <si>
    <t>00729</t>
  </si>
  <si>
    <t>Ganesh Balasaheb Kashid</t>
  </si>
  <si>
    <t>00730</t>
  </si>
  <si>
    <t>Abhijit Nitin More</t>
  </si>
  <si>
    <t>00731</t>
  </si>
  <si>
    <t>Dilip Kumar Arabole</t>
  </si>
  <si>
    <t>00732</t>
  </si>
  <si>
    <t>Mahesh Eknath Gavali</t>
  </si>
  <si>
    <t>00733</t>
  </si>
  <si>
    <t>Dnyaneshwar Rajendra Chaugule</t>
  </si>
  <si>
    <t>00734</t>
  </si>
  <si>
    <t>Abhishek Mallinath Dhumma</t>
  </si>
  <si>
    <t>Canon G790 Black Ink Bottle</t>
  </si>
  <si>
    <t>Canon G790 Cyan Ink Bottle</t>
  </si>
  <si>
    <t>Canon G790 Magenta Ink Bottle</t>
  </si>
  <si>
    <t>Canon G790 Yellow Ink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</si>
</sst>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4009]d\ mmmm\ yyyy;@"/>
    <numFmt numFmtId="165" formatCode="[$-14009]dd\-mm\-yyyy;@"/>
    <numFmt numFmtId="166" formatCode="[$-14009]dd/mm/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B7B7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6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14009]dd\-mm\-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4009]d\ mmmm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\-mm\-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4009]d\ mmmm\ 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B7B7B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E0E48D-282F-43D8-8B92-A1220DAC0C20}" name="T_EmpDetails" displayName="T_EmpDetails" ref="A1:D288" totalsRowShown="0" headerRowDxfId="57" headerRowBorderDxfId="56" tableBorderDxfId="55" totalsRowBorderDxfId="54">
  <autoFilter ref="A1:D288" xr:uid="{EFE0E48D-282F-43D8-8B92-A1220DAC0C20}"/>
  <tableColumns count="4">
    <tableColumn id="1" xr3:uid="{D1AAB03C-A86A-4771-8406-BD508765FCD8}" name="Employee Code" dataDxfId="53"/>
    <tableColumn id="2" xr3:uid="{7471EDA1-C2E5-468C-ADEF-AA98B33EC2EA}" name="Full name" dataDxfId="52"/>
    <tableColumn id="3" xr3:uid="{1E1290D7-FACE-4195-9C59-2A51898B9A3E}" name="Department" dataDxfId="51"/>
    <tableColumn id="4" xr3:uid="{7DF1F399-E9DE-49D6-82E6-BBD8D46DA43F}" name="Designation" dataDxfId="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C405B0-02BF-4AD8-9775-500123DA11B8}" name="DeptName01" displayName="DeptName01" ref="A1:A33" totalsRowShown="0" headerRowDxfId="49" dataDxfId="48">
  <autoFilter ref="A1:A33" xr:uid="{65C405B0-02BF-4AD8-9775-500123DA11B8}"/>
  <tableColumns count="1">
    <tableColumn id="1" xr3:uid="{05FE9750-080C-450B-8C2E-A6B7718AF217}" name="Department Name" dataDxfId="47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D1E3EC-D1A0-4159-851A-6C8442311F58}" name="Con_Rec_Item01" displayName="Con_Rec_Item01" ref="C1:C14" totalsRowShown="0" headerRowDxfId="46" dataDxfId="45">
  <autoFilter ref="C1:C14" xr:uid="{15D1E3EC-D1A0-4159-851A-6C8442311F58}"/>
  <sortState xmlns:xlrd2="http://schemas.microsoft.com/office/spreadsheetml/2017/richdata2" ref="C2:C14">
    <sortCondition ref="C1:C14"/>
  </sortState>
  <tableColumns count="1">
    <tableColumn id="1" xr3:uid="{B4F35B69-E6AE-4ED3-AFAE-81B7D65D1143}" name="Consumable &amp; Recurring Item" dataDxfId="4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E04A0A-8C81-4183-BD56-9E417DFA211B}" name="CompEquip01" displayName="CompEquip01" ref="E1:E22" totalsRowShown="0" headerRowDxfId="43" dataDxfId="42">
  <autoFilter ref="E1:E22" xr:uid="{25E04A0A-8C81-4183-BD56-9E417DFA211B}"/>
  <sortState xmlns:xlrd2="http://schemas.microsoft.com/office/spreadsheetml/2017/richdata2" ref="E2:E21">
    <sortCondition ref="E1:E21"/>
  </sortState>
  <tableColumns count="1">
    <tableColumn id="1" xr3:uid="{C85537AA-0111-4DC2-A061-D0BE9629EC0D}" name="Computer Equipment" dataDxfId="41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BE2413-CAEE-429E-A2A7-9249FB8F6850}" name="Rec_ReStock01" displayName="Rec_ReStock01" ref="A1:D37" totalsRowShown="0" headerRowDxfId="40" dataDxfId="39">
  <autoFilter ref="A1:D37" xr:uid="{6EBE2413-CAEE-429E-A2A7-9249FB8F6850}"/>
  <tableColumns count="4">
    <tableColumn id="1" xr3:uid="{5C542E8F-AF3D-4244-A56D-29E4BE515301}" name="Sr. No" dataDxfId="38">
      <calculatedColumnFormula>ROW()-ROW($A$1)</calculatedColumnFormula>
    </tableColumn>
    <tableColumn id="2" xr3:uid="{813FBB22-78E2-4B46-92CA-ED0C0FDDAA04}" name="Re-Stock Date" dataDxfId="37"/>
    <tableColumn id="3" xr3:uid="{55F556B4-0611-4D48-B85F-18C4599879EE}" name="Item Name" dataDxfId="36"/>
    <tableColumn id="4" xr3:uid="{C4B1AE4D-D20A-4BBF-9FDD-1109BA9C11B9}" name="Stock" dataDxfId="35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397AA6-5E8E-4602-99A0-8A2E71EDE9C3}" name="Rec_Stock01" displayName="Rec_Stock01" ref="A1:E14" totalsRowShown="0" headerRowDxfId="64" dataDxfId="63">
  <autoFilter ref="A1:E14" xr:uid="{EF397AA6-5E8E-4602-99A0-8A2E71EDE9C3}"/>
  <sortState xmlns:xlrd2="http://schemas.microsoft.com/office/spreadsheetml/2017/richdata2" ref="A2:E14">
    <sortCondition ref="B1:B14"/>
  </sortState>
  <tableColumns count="5">
    <tableColumn id="1" xr3:uid="{B430E3D3-F0F1-4F01-904C-C2E60D276278}" name="Sr. No" dataDxfId="62">
      <calculatedColumnFormula>ROW()-ROW(Rec_Stock01[[#Headers],[Sr. No]])</calculatedColumnFormula>
    </tableColumn>
    <tableColumn id="2" xr3:uid="{CCE18E31-877C-4994-8B4F-7564DE98A92D}" name="Item Name" dataDxfId="61"/>
    <tableColumn id="3" xr3:uid="{71E0D89B-EB81-491B-BB8E-9585253FFD34}" name="Stock" dataDxfId="60">
      <calculatedColumnFormula>SUMIF(Rec_ReStock01[Item Name],Rec_Stock01[[#This Row],[Item Name]],Rec_ReStock01[Stock])</calculatedColumnFormula>
    </tableColumn>
    <tableColumn id="4" xr3:uid="{097AB0E1-497B-4544-BA6C-99404E8F0D28}" name="Used" dataDxfId="59">
      <calculatedColumnFormula>SUMIF(Rec_Record01[Item Make],Rec_Stock01[[#This Row],[Item Name]],Rec_Record01[Qty. Used])</calculatedColumnFormula>
    </tableColumn>
    <tableColumn id="5" xr3:uid="{9DDC1FF9-593E-4AD2-9100-582984B950A8}" name="Spare" dataDxfId="58">
      <calculatedColumnFormula>Rec_Stock01[[#This Row],[Stock]]-Rec_Stock01[[#This Row],[Used]]</calculatedColumnFormula>
    </tableColumn>
  </tableColumns>
  <tableStyleInfo name="TableStyleLight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50B7F6-EB5F-4A5A-9AD5-7B5BAA9C4963}" name="Rec_Record01" displayName="Rec_Record01" ref="A1:F96" totalsRowShown="0" headerRowDxfId="34" dataDxfId="33">
  <autoFilter ref="A1:F96" xr:uid="{9150B7F6-EB5F-4A5A-9AD5-7B5BAA9C4963}"/>
  <tableColumns count="6">
    <tableColumn id="1" xr3:uid="{ABD42BD2-DD45-492F-AF53-73FB8478971D}" name="Sr. No." dataDxfId="32">
      <calculatedColumnFormula>ROW()-ROW($A$1)</calculatedColumnFormula>
    </tableColumn>
    <tableColumn id="2" xr3:uid="{73DD1D7B-9B70-4BF7-A546-DD55FA0BE621}" name="Use Start Date" dataDxfId="31"/>
    <tableColumn id="3" xr3:uid="{0B45B1DE-136D-4D8A-8A36-BE07AF3EEDA2}" name="Use End Date" dataDxfId="30"/>
    <tableColumn id="4" xr3:uid="{1C281B5C-4CE8-408B-94A1-CC2E99A2382B}" name="Department/User Name" dataDxfId="29"/>
    <tableColumn id="5" xr3:uid="{F13BC378-1414-45B6-882A-23151218A884}" name="Item Make" dataDxfId="28"/>
    <tableColumn id="6" xr3:uid="{560DF474-F26E-4611-92F0-100E76A3220E}" name="Qty. Used" dataDxfId="27"/>
  </tableColumns>
  <tableStyleInfo name="TableStyleLight1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515B44-A4E3-4C0F-A89D-0B01049B32DA}" name="Equip_ReStock01" displayName="Equip_ReStock01" ref="A1:D26" totalsRowShown="0" headerRowDxfId="26" dataDxfId="25">
  <autoFilter ref="A1:D26" xr:uid="{C1515B44-A4E3-4C0F-A89D-0B01049B32DA}"/>
  <tableColumns count="4">
    <tableColumn id="1" xr3:uid="{0BD2E39C-EEA1-4045-9F58-7D3A5BB3D67C}" name="Sr. No" dataDxfId="24">
      <calculatedColumnFormula>ROW()-ROW($A$1)</calculatedColumnFormula>
    </tableColumn>
    <tableColumn id="2" xr3:uid="{EC78038A-B3F4-48C0-87CC-6ACEF3C3F08B}" name="Re-Stock Date" dataDxfId="23"/>
    <tableColumn id="3" xr3:uid="{EB29A8CA-1062-4BF2-AED8-DDEB61BB19BD}" name="Item Name" dataDxfId="22"/>
    <tableColumn id="4" xr3:uid="{2D4355D4-468D-43ED-BC63-12AFCE898B88}" name="Stock" dataDxfId="21"/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4963AA0-8646-47A7-81FB-B9191127F511}" name="CompEquipTable01" displayName="CompEquipTable01" ref="A1:H21" totalsRowShown="0" headerRowDxfId="20" dataDxfId="19">
  <autoFilter ref="A1:H21" xr:uid="{94963AA0-8646-47A7-81FB-B9191127F511}"/>
  <tableColumns count="8">
    <tableColumn id="1" xr3:uid="{90A66BA8-C5F5-4B2E-9027-B7593C754726}" name="Sr. No." dataDxfId="18">
      <calculatedColumnFormula>ROW()-ROW($A$1)</calculatedColumnFormula>
    </tableColumn>
    <tableColumn id="2" xr3:uid="{BD165B2E-6D5B-44AC-934A-F15F4272E070}" name="Item Name" dataDxfId="17"/>
    <tableColumn id="3" xr3:uid="{DD0A6E0B-40CE-46B9-86DB-6B179A5438C4}" name="Stock" dataDxfId="16">
      <calculatedColumnFormula>SUMIF(Equip_ReStock01[Item Name],CompEquipTable01[[#This Row],[Item Name]],Equip_ReStock01[Stock])</calculatedColumnFormula>
    </tableColumn>
    <tableColumn id="4" xr3:uid="{5AF4119C-118B-4E91-B4D9-31866FAEF5D2}" name="Used" dataDxfId="15">
      <calculatedColumnFormula>SUMIFS(EquipRecord01[Qty. Used],EquipRecord01[Computer Equipment],CompEquipTable01[[#This Row],[Item Name]],EquipRecord01[Action],"Given to User")</calculatedColumnFormula>
    </tableColumn>
    <tableColumn id="5" xr3:uid="{BFDA711E-5800-4E7C-B30E-9A31BF073E39}" name="Return" dataDxfId="14">
      <calculatedColumnFormula>SUMIFS(EquipRecord01[Qty. Used],EquipRecord01[Computer Equipment],CompEquipTable01[[#This Row],[Item Name]],EquipRecord01[Action],"Return by User",EquipRecord01[Status],"&lt;&gt;Not Working")</calculatedColumnFormula>
    </tableColumn>
    <tableColumn id="6" xr3:uid="{B26B3608-A66C-4C82-88D2-99301C6F01D9}" name="Working" dataDxfId="13">
      <calculatedColumnFormula>COUNTIFS(EquipRecord01[Computer Equipment],CompEquipTable01[[#This Row],[Item Name]],EquipRecord01[Status],"Working")</calculatedColumnFormula>
    </tableColumn>
    <tableColumn id="7" xr3:uid="{EEFA58C6-6EE4-4259-8E73-090ABFB2EA3A}" name="Not Working" dataDxfId="12">
      <calculatedColumnFormula>COUNTIFS(EquipRecord01[Computer Equipment],CompEquipTable01[[#This Row],[Item Name]],EquipRecord01[Status],"Not Working")</calculatedColumnFormula>
    </tableColumn>
    <tableColumn id="8" xr3:uid="{5DC6165E-9D05-40FC-8ADA-9EAA611C156F}" name="Spare" dataDxfId="11">
      <calculatedColumnFormula>(CompEquipTable01[[#This Row],[Stock]])-(CompEquipTable01[[#This Row],[Used]]+CompEquipTable01[[#This Row],[Not Working]])</calculatedColumnFormula>
    </tableColumn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838EA9-C6D0-4A42-BE9D-586EE11AF3D9}" name="EquipRecord01" displayName="EquipRecord01" ref="A1:I47" totalsRowShown="0" headerRowDxfId="10" dataDxfId="9">
  <autoFilter ref="A1:I47" xr:uid="{C3838EA9-C6D0-4A42-BE9D-586EE11AF3D9}"/>
  <tableColumns count="9">
    <tableColumn id="1" xr3:uid="{BFAB2328-7723-4971-9BE2-4C1E5618C529}" name="Sr. No." dataDxfId="8">
      <calculatedColumnFormula>ROW()-ROW($A$1)</calculatedColumnFormula>
    </tableColumn>
    <tableColumn id="2" xr3:uid="{EEDB6D2E-95FE-401E-9663-379499896094}" name="Date" dataDxfId="7"/>
    <tableColumn id="11" xr3:uid="{39CE2E75-1E7E-4CF0-BE8C-06ABD1D9B7A5}" name="Name" dataDxfId="6"/>
    <tableColumn id="12" xr3:uid="{D022BA2A-1DA4-4563-BA0A-1FAA081F720D}" name="Department" dataDxfId="5">
      <calculatedColumnFormula>IFERROR(VLOOKUP(EquipRecord01[[#This Row],[Name]],EmpDetails!$B:$D,2,FALSE),"")</calculatedColumnFormula>
    </tableColumn>
    <tableColumn id="5" xr3:uid="{AE60D2F6-DFAC-48EB-A3B4-320038E9E8CF}" name="Computer Equipment" dataDxfId="4"/>
    <tableColumn id="6" xr3:uid="{5478D90C-5376-49CE-9557-5398BFA63CD9}" name="Qty. Used" dataDxfId="3"/>
    <tableColumn id="7" xr3:uid="{3E8848C7-D3A1-45A3-9DED-57BBA49DBB1F}" name="Action" dataDxfId="2"/>
    <tableColumn id="8" xr3:uid="{C4BE9A05-10B1-4FF2-AAFF-4A758D2B7C47}" name="Status" dataDxfId="1"/>
    <tableColumn id="9" xr3:uid="{F2C9EE18-0126-46E7-8F7A-AB4FE98E47AB}" name="Remark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32CC-C083-4DFF-A4A2-5EF588C3B035}">
  <dimension ref="A1:F288"/>
  <sheetViews>
    <sheetView workbookViewId="0">
      <pane xSplit="2" ySplit="1" topLeftCell="C268" activePane="bottomRight" state="frozen"/>
      <selection pane="topRight" activeCell="C1" sqref="C1"/>
      <selection pane="bottomLeft" activeCell="A2" sqref="A2"/>
      <selection pane="bottomRight" activeCell="A253" sqref="A253:D288"/>
    </sheetView>
  </sheetViews>
  <sheetFormatPr defaultRowHeight="15" customHeight="1" x14ac:dyDescent="0.25"/>
  <cols>
    <col min="1" max="1" width="17.42578125" customWidth="1"/>
    <col min="2" max="2" width="36" bestFit="1" customWidth="1"/>
    <col min="3" max="3" width="16.5703125" bestFit="1" customWidth="1"/>
    <col min="4" max="4" width="32.28515625" bestFit="1" customWidth="1"/>
  </cols>
  <sheetData>
    <row r="1" spans="1:6" ht="15" customHeight="1" x14ac:dyDescent="0.25">
      <c r="A1" s="15" t="s">
        <v>92</v>
      </c>
      <c r="B1" s="16" t="s">
        <v>93</v>
      </c>
      <c r="C1" s="16" t="s">
        <v>65</v>
      </c>
      <c r="D1" s="17" t="s">
        <v>94</v>
      </c>
      <c r="F1" t="str" cm="1">
        <f t="array" aca="1" ref="F1:F287" ca="1">INDIRECT("T_EmpDetails[Full Name]")</f>
        <v>Sandip Nivrutti Jadhav</v>
      </c>
    </row>
    <row r="2" spans="1:6" ht="15" customHeight="1" x14ac:dyDescent="0.25">
      <c r="A2" s="13" t="s">
        <v>95</v>
      </c>
      <c r="B2" s="12" t="s">
        <v>96</v>
      </c>
      <c r="C2" s="12" t="s">
        <v>3</v>
      </c>
      <c r="D2" s="14" t="s">
        <v>97</v>
      </c>
      <c r="F2" t="str">
        <f ca="1"/>
        <v>Pandit Mahadeo Hanjage</v>
      </c>
    </row>
    <row r="3" spans="1:6" ht="15" customHeight="1" x14ac:dyDescent="0.25">
      <c r="A3" s="13" t="s">
        <v>98</v>
      </c>
      <c r="B3" s="12" t="s">
        <v>99</v>
      </c>
      <c r="C3" s="12" t="s">
        <v>6</v>
      </c>
      <c r="D3" s="14" t="s">
        <v>100</v>
      </c>
      <c r="F3" t="str">
        <f ca="1"/>
        <v>Arvind Tanaji Devkar</v>
      </c>
    </row>
    <row r="4" spans="1:6" ht="15" customHeight="1" x14ac:dyDescent="0.25">
      <c r="A4" s="13" t="s">
        <v>101</v>
      </c>
      <c r="B4" s="12" t="s">
        <v>102</v>
      </c>
      <c r="C4" s="12" t="s">
        <v>10</v>
      </c>
      <c r="D4" s="14" t="s">
        <v>100</v>
      </c>
      <c r="F4" t="str">
        <f ca="1"/>
        <v>Prashant Sukhdev Ingle</v>
      </c>
    </row>
    <row r="5" spans="1:6" ht="15" customHeight="1" x14ac:dyDescent="0.25">
      <c r="A5" s="13" t="s">
        <v>103</v>
      </c>
      <c r="B5" s="12" t="s">
        <v>104</v>
      </c>
      <c r="C5" s="12" t="s">
        <v>12</v>
      </c>
      <c r="D5" s="14" t="s">
        <v>105</v>
      </c>
      <c r="F5" t="str">
        <f ca="1"/>
        <v>Ulhas Dilip Byale</v>
      </c>
    </row>
    <row r="6" spans="1:6" ht="15" customHeight="1" x14ac:dyDescent="0.25">
      <c r="A6" s="13" t="s">
        <v>106</v>
      </c>
      <c r="B6" s="12" t="s">
        <v>107</v>
      </c>
      <c r="C6" s="12" t="s">
        <v>14</v>
      </c>
      <c r="D6" s="14" t="s">
        <v>108</v>
      </c>
      <c r="F6" t="str">
        <f ca="1"/>
        <v>Savala Jagannath Kumbhar</v>
      </c>
    </row>
    <row r="7" spans="1:6" ht="15" customHeight="1" x14ac:dyDescent="0.25">
      <c r="A7" s="13" t="s">
        <v>109</v>
      </c>
      <c r="B7" s="12" t="s">
        <v>110</v>
      </c>
      <c r="C7" s="12" t="s">
        <v>17</v>
      </c>
      <c r="D7" s="14" t="s">
        <v>111</v>
      </c>
      <c r="F7" t="str">
        <f ca="1"/>
        <v>Ravindra Vitthal Kashid</v>
      </c>
    </row>
    <row r="8" spans="1:6" ht="15" customHeight="1" x14ac:dyDescent="0.25">
      <c r="A8" s="13" t="s">
        <v>112</v>
      </c>
      <c r="B8" s="12" t="s">
        <v>113</v>
      </c>
      <c r="C8" s="12" t="s">
        <v>17</v>
      </c>
      <c r="D8" s="14" t="s">
        <v>100</v>
      </c>
      <c r="F8" t="str">
        <f ca="1"/>
        <v>Shital Ramchandra Sathe</v>
      </c>
    </row>
    <row r="9" spans="1:6" ht="15" customHeight="1" x14ac:dyDescent="0.25">
      <c r="A9" s="13" t="s">
        <v>114</v>
      </c>
      <c r="B9" s="12" t="s">
        <v>115</v>
      </c>
      <c r="C9" s="12" t="s">
        <v>6</v>
      </c>
      <c r="D9" s="14" t="s">
        <v>116</v>
      </c>
      <c r="F9" t="str">
        <f ca="1"/>
        <v>Krishna Balaprasad Kushwaha</v>
      </c>
    </row>
    <row r="10" spans="1:6" ht="15" customHeight="1" x14ac:dyDescent="0.25">
      <c r="A10" s="13" t="s">
        <v>117</v>
      </c>
      <c r="B10" s="12" t="s">
        <v>118</v>
      </c>
      <c r="C10" s="12" t="s">
        <v>6</v>
      </c>
      <c r="D10" s="14" t="s">
        <v>116</v>
      </c>
      <c r="F10" t="str">
        <f ca="1"/>
        <v>Shrishail Shantappa Mali</v>
      </c>
    </row>
    <row r="11" spans="1:6" ht="15" customHeight="1" x14ac:dyDescent="0.25">
      <c r="A11" s="13" t="s">
        <v>119</v>
      </c>
      <c r="B11" s="12" t="s">
        <v>120</v>
      </c>
      <c r="C11" s="12" t="s">
        <v>18</v>
      </c>
      <c r="D11" s="14" t="s">
        <v>121</v>
      </c>
      <c r="F11" t="str">
        <f ca="1"/>
        <v>Arjun Guruling Wale</v>
      </c>
    </row>
    <row r="12" spans="1:6" ht="15" customHeight="1" x14ac:dyDescent="0.25">
      <c r="A12" s="13" t="s">
        <v>122</v>
      </c>
      <c r="B12" s="12" t="s">
        <v>123</v>
      </c>
      <c r="C12" s="12" t="s">
        <v>6</v>
      </c>
      <c r="D12" s="14" t="s">
        <v>124</v>
      </c>
      <c r="F12" t="str">
        <f ca="1"/>
        <v>Amar Dattatray Paul</v>
      </c>
    </row>
    <row r="13" spans="1:6" ht="15" customHeight="1" x14ac:dyDescent="0.25">
      <c r="A13" s="13" t="s">
        <v>125</v>
      </c>
      <c r="B13" s="12" t="s">
        <v>126</v>
      </c>
      <c r="C13" s="12" t="s">
        <v>6</v>
      </c>
      <c r="D13" s="14" t="s">
        <v>121</v>
      </c>
      <c r="F13" t="str">
        <f ca="1"/>
        <v>Madhukar Balu Kambale</v>
      </c>
    </row>
    <row r="14" spans="1:6" ht="15" customHeight="1" x14ac:dyDescent="0.25">
      <c r="A14" s="13" t="s">
        <v>127</v>
      </c>
      <c r="B14" s="12" t="s">
        <v>128</v>
      </c>
      <c r="C14" s="12" t="s">
        <v>3</v>
      </c>
      <c r="D14" s="14" t="s">
        <v>129</v>
      </c>
      <c r="F14" t="str">
        <f ca="1"/>
        <v>Dilip Mahadev Aldar</v>
      </c>
    </row>
    <row r="15" spans="1:6" ht="15" customHeight="1" x14ac:dyDescent="0.25">
      <c r="A15" s="13" t="s">
        <v>130</v>
      </c>
      <c r="B15" s="12" t="s">
        <v>131</v>
      </c>
      <c r="C15" s="12" t="s">
        <v>18</v>
      </c>
      <c r="D15" s="14" t="s">
        <v>121</v>
      </c>
      <c r="F15" t="str">
        <f ca="1"/>
        <v>Balasaheb Nivrutti Khandeker</v>
      </c>
    </row>
    <row r="16" spans="1:6" ht="15" customHeight="1" x14ac:dyDescent="0.25">
      <c r="A16" s="13" t="s">
        <v>132</v>
      </c>
      <c r="B16" s="12" t="s">
        <v>133</v>
      </c>
      <c r="C16" s="12" t="s">
        <v>18</v>
      </c>
      <c r="D16" s="14" t="s">
        <v>134</v>
      </c>
      <c r="F16" t="str">
        <f ca="1"/>
        <v>Santosh Madhukar Kavale</v>
      </c>
    </row>
    <row r="17" spans="1:6" ht="15" customHeight="1" x14ac:dyDescent="0.25">
      <c r="A17" s="13" t="s">
        <v>135</v>
      </c>
      <c r="B17" s="12" t="s">
        <v>136</v>
      </c>
      <c r="C17" s="12" t="s">
        <v>18</v>
      </c>
      <c r="D17" s="14" t="s">
        <v>121</v>
      </c>
      <c r="F17" t="str">
        <f ca="1"/>
        <v>Sandeep Kumar Sonelal Singh</v>
      </c>
    </row>
    <row r="18" spans="1:6" ht="15" customHeight="1" x14ac:dyDescent="0.25">
      <c r="A18" s="13" t="s">
        <v>137</v>
      </c>
      <c r="B18" s="12" t="s">
        <v>138</v>
      </c>
      <c r="C18" s="12" t="s">
        <v>6</v>
      </c>
      <c r="D18" s="14" t="s">
        <v>121</v>
      </c>
      <c r="F18" t="str">
        <f ca="1"/>
        <v>Vaijinath Hanumant Doke</v>
      </c>
    </row>
    <row r="19" spans="1:6" ht="15" customHeight="1" x14ac:dyDescent="0.25">
      <c r="A19" s="13" t="s">
        <v>139</v>
      </c>
      <c r="B19" s="12" t="s">
        <v>140</v>
      </c>
      <c r="C19" s="12" t="s">
        <v>6</v>
      </c>
      <c r="D19" s="14" t="s">
        <v>111</v>
      </c>
      <c r="F19" t="str">
        <f ca="1"/>
        <v>Somnath Khushal Mali</v>
      </c>
    </row>
    <row r="20" spans="1:6" ht="15" customHeight="1" x14ac:dyDescent="0.25">
      <c r="A20" s="13" t="s">
        <v>141</v>
      </c>
      <c r="B20" s="12" t="s">
        <v>142</v>
      </c>
      <c r="C20" s="12" t="s">
        <v>6</v>
      </c>
      <c r="D20" s="14" t="s">
        <v>121</v>
      </c>
      <c r="F20" t="str">
        <f ca="1"/>
        <v>Namdev Navnath Sonne</v>
      </c>
    </row>
    <row r="21" spans="1:6" ht="15" customHeight="1" x14ac:dyDescent="0.25">
      <c r="A21" s="13" t="s">
        <v>143</v>
      </c>
      <c r="B21" s="12" t="s">
        <v>144</v>
      </c>
      <c r="C21" s="12" t="s">
        <v>6</v>
      </c>
      <c r="D21" s="14" t="s">
        <v>111</v>
      </c>
      <c r="F21" t="str">
        <f ca="1"/>
        <v>Mustajibahmed Jahangir Shaikh</v>
      </c>
    </row>
    <row r="22" spans="1:6" ht="15" customHeight="1" x14ac:dyDescent="0.25">
      <c r="A22" s="13" t="s">
        <v>145</v>
      </c>
      <c r="B22" s="12" t="s">
        <v>146</v>
      </c>
      <c r="C22" s="12" t="s">
        <v>14</v>
      </c>
      <c r="D22" s="14" t="s">
        <v>111</v>
      </c>
      <c r="F22" t="str">
        <f ca="1"/>
        <v>Vinod Umashankar Nimbalkar</v>
      </c>
    </row>
    <row r="23" spans="1:6" ht="15" customHeight="1" x14ac:dyDescent="0.25">
      <c r="A23" s="13" t="s">
        <v>147</v>
      </c>
      <c r="B23" s="12" t="s">
        <v>148</v>
      </c>
      <c r="C23" s="12" t="s">
        <v>19</v>
      </c>
      <c r="D23" s="14" t="s">
        <v>149</v>
      </c>
      <c r="F23" t="str">
        <f ca="1"/>
        <v>Shakir Isamil Sayyad</v>
      </c>
    </row>
    <row r="24" spans="1:6" ht="15" customHeight="1" x14ac:dyDescent="0.25">
      <c r="A24" s="13" t="s">
        <v>150</v>
      </c>
      <c r="B24" s="12" t="s">
        <v>151</v>
      </c>
      <c r="C24" s="12" t="s">
        <v>14</v>
      </c>
      <c r="D24" s="14" t="s">
        <v>111</v>
      </c>
      <c r="F24" t="str">
        <f ca="1"/>
        <v>Avinash Vasant Sathe</v>
      </c>
    </row>
    <row r="25" spans="1:6" ht="15" customHeight="1" x14ac:dyDescent="0.25">
      <c r="A25" s="13" t="s">
        <v>152</v>
      </c>
      <c r="B25" s="12" t="s">
        <v>153</v>
      </c>
      <c r="C25" s="12" t="s">
        <v>6</v>
      </c>
      <c r="D25" s="14" t="s">
        <v>121</v>
      </c>
      <c r="F25" t="str">
        <f ca="1"/>
        <v>Vijayashri Sidramappa Karande</v>
      </c>
    </row>
    <row r="26" spans="1:6" ht="15" customHeight="1" x14ac:dyDescent="0.25">
      <c r="A26" s="13" t="s">
        <v>154</v>
      </c>
      <c r="B26" s="12" t="s">
        <v>155</v>
      </c>
      <c r="C26" s="12" t="s">
        <v>20</v>
      </c>
      <c r="D26" s="14" t="s">
        <v>156</v>
      </c>
      <c r="F26" t="str">
        <f ca="1"/>
        <v>Rakesh Jagdish Kushvah</v>
      </c>
    </row>
    <row r="27" spans="1:6" ht="15" customHeight="1" x14ac:dyDescent="0.25">
      <c r="A27" s="13" t="s">
        <v>157</v>
      </c>
      <c r="B27" s="12" t="s">
        <v>158</v>
      </c>
      <c r="C27" s="12" t="s">
        <v>6</v>
      </c>
      <c r="D27" s="14" t="s">
        <v>116</v>
      </c>
      <c r="F27" t="str">
        <f ca="1"/>
        <v>Satish Girmal Padasalgi</v>
      </c>
    </row>
    <row r="28" spans="1:6" ht="15" customHeight="1" x14ac:dyDescent="0.25">
      <c r="A28" s="13" t="s">
        <v>159</v>
      </c>
      <c r="B28" s="12" t="s">
        <v>160</v>
      </c>
      <c r="C28" s="12" t="s">
        <v>21</v>
      </c>
      <c r="D28" s="14" t="s">
        <v>105</v>
      </c>
      <c r="F28" t="str">
        <f ca="1"/>
        <v>Pandurang Kalyan Chougule</v>
      </c>
    </row>
    <row r="29" spans="1:6" ht="15" customHeight="1" x14ac:dyDescent="0.25">
      <c r="A29" s="13" t="s">
        <v>161</v>
      </c>
      <c r="B29" s="12" t="s">
        <v>162</v>
      </c>
      <c r="C29" s="12" t="s">
        <v>6</v>
      </c>
      <c r="D29" s="14" t="s">
        <v>121</v>
      </c>
      <c r="F29" t="str">
        <f ca="1"/>
        <v>Saudagar Bajirao More</v>
      </c>
    </row>
    <row r="30" spans="1:6" ht="15" customHeight="1" x14ac:dyDescent="0.25">
      <c r="A30" s="13" t="s">
        <v>163</v>
      </c>
      <c r="B30" s="12" t="s">
        <v>164</v>
      </c>
      <c r="C30" s="12" t="s">
        <v>6</v>
      </c>
      <c r="D30" s="14" t="s">
        <v>121</v>
      </c>
      <c r="F30" t="str">
        <f ca="1"/>
        <v>Shivaji Sugriv Narwade</v>
      </c>
    </row>
    <row r="31" spans="1:6" ht="15" customHeight="1" x14ac:dyDescent="0.25">
      <c r="A31" s="13" t="s">
        <v>165</v>
      </c>
      <c r="B31" s="12" t="s">
        <v>166</v>
      </c>
      <c r="C31" s="12" t="s">
        <v>6</v>
      </c>
      <c r="D31" s="14" t="s">
        <v>100</v>
      </c>
      <c r="F31" t="str">
        <f ca="1"/>
        <v>Ganesh Vitthal Tadaka</v>
      </c>
    </row>
    <row r="32" spans="1:6" ht="15" customHeight="1" x14ac:dyDescent="0.25">
      <c r="A32" s="13" t="s">
        <v>167</v>
      </c>
      <c r="B32" s="12" t="s">
        <v>168</v>
      </c>
      <c r="C32" s="12" t="s">
        <v>6</v>
      </c>
      <c r="D32" s="14" t="s">
        <v>156</v>
      </c>
      <c r="F32" t="str">
        <f ca="1"/>
        <v>Ajit Ramchandra Mane</v>
      </c>
    </row>
    <row r="33" spans="1:6" ht="15" customHeight="1" x14ac:dyDescent="0.25">
      <c r="A33" s="13" t="s">
        <v>169</v>
      </c>
      <c r="B33" s="12" t="s">
        <v>170</v>
      </c>
      <c r="C33" s="12" t="s">
        <v>6</v>
      </c>
      <c r="D33" s="14" t="s">
        <v>116</v>
      </c>
      <c r="F33" t="str">
        <f ca="1"/>
        <v>Vilas Gurunath Birajdar</v>
      </c>
    </row>
    <row r="34" spans="1:6" ht="15" customHeight="1" x14ac:dyDescent="0.25">
      <c r="A34" s="13" t="s">
        <v>171</v>
      </c>
      <c r="B34" s="12" t="s">
        <v>172</v>
      </c>
      <c r="C34" s="12" t="s">
        <v>18</v>
      </c>
      <c r="D34" s="14" t="s">
        <v>121</v>
      </c>
      <c r="F34" t="str">
        <f ca="1"/>
        <v>Raju Rambilas Tadamali</v>
      </c>
    </row>
    <row r="35" spans="1:6" ht="15" customHeight="1" x14ac:dyDescent="0.25">
      <c r="A35" s="13" t="s">
        <v>173</v>
      </c>
      <c r="B35" s="12" t="s">
        <v>174</v>
      </c>
      <c r="C35" s="12" t="s">
        <v>6</v>
      </c>
      <c r="D35" s="14" t="s">
        <v>116</v>
      </c>
      <c r="F35" t="str">
        <f ca="1"/>
        <v>Suresh Gurunath Borkar</v>
      </c>
    </row>
    <row r="36" spans="1:6" ht="15" customHeight="1" x14ac:dyDescent="0.25">
      <c r="A36" s="13" t="s">
        <v>175</v>
      </c>
      <c r="B36" s="12" t="s">
        <v>176</v>
      </c>
      <c r="C36" s="12" t="s">
        <v>6</v>
      </c>
      <c r="D36" s="14" t="s">
        <v>100</v>
      </c>
      <c r="F36" t="str">
        <f ca="1"/>
        <v>Dattatray Ananta Pagade</v>
      </c>
    </row>
    <row r="37" spans="1:6" ht="15" customHeight="1" x14ac:dyDescent="0.25">
      <c r="A37" s="13" t="s">
        <v>177</v>
      </c>
      <c r="B37" s="12" t="s">
        <v>178</v>
      </c>
      <c r="C37" s="12" t="s">
        <v>6</v>
      </c>
      <c r="D37" s="14" t="s">
        <v>100</v>
      </c>
      <c r="F37" t="str">
        <f ca="1"/>
        <v>Samadhan Rajabhau Patil</v>
      </c>
    </row>
    <row r="38" spans="1:6" ht="15" customHeight="1" x14ac:dyDescent="0.25">
      <c r="A38" s="13" t="s">
        <v>179</v>
      </c>
      <c r="B38" s="12" t="s">
        <v>180</v>
      </c>
      <c r="C38" s="12" t="s">
        <v>6</v>
      </c>
      <c r="D38" s="14" t="s">
        <v>116</v>
      </c>
      <c r="F38" t="str">
        <f ca="1"/>
        <v>Ram Anand Waghmode</v>
      </c>
    </row>
    <row r="39" spans="1:6" ht="15" customHeight="1" x14ac:dyDescent="0.25">
      <c r="A39" s="13" t="s">
        <v>181</v>
      </c>
      <c r="B39" s="12" t="s">
        <v>182</v>
      </c>
      <c r="C39" s="12" t="s">
        <v>17</v>
      </c>
      <c r="D39" s="14" t="s">
        <v>183</v>
      </c>
      <c r="F39" t="str">
        <f ca="1"/>
        <v>Sandip Namdev Khatal</v>
      </c>
    </row>
    <row r="40" spans="1:6" ht="15" customHeight="1" x14ac:dyDescent="0.25">
      <c r="A40" s="13" t="s">
        <v>184</v>
      </c>
      <c r="B40" s="12" t="s">
        <v>185</v>
      </c>
      <c r="C40" s="12" t="s">
        <v>14</v>
      </c>
      <c r="D40" s="14" t="s">
        <v>97</v>
      </c>
      <c r="F40" t="str">
        <f ca="1"/>
        <v>Satish Ramdas Reddy</v>
      </c>
    </row>
    <row r="41" spans="1:6" ht="15" customHeight="1" x14ac:dyDescent="0.25">
      <c r="A41" s="13" t="s">
        <v>186</v>
      </c>
      <c r="B41" s="12" t="s">
        <v>187</v>
      </c>
      <c r="C41" s="12" t="s">
        <v>6</v>
      </c>
      <c r="D41" s="14" t="s">
        <v>100</v>
      </c>
      <c r="F41" t="str">
        <f ca="1"/>
        <v>Mahesh Dhondiba Hanchate</v>
      </c>
    </row>
    <row r="42" spans="1:6" ht="15" customHeight="1" x14ac:dyDescent="0.25">
      <c r="A42" s="13" t="s">
        <v>188</v>
      </c>
      <c r="B42" s="12" t="s">
        <v>189</v>
      </c>
      <c r="C42" s="12" t="s">
        <v>20</v>
      </c>
      <c r="D42" s="14" t="s">
        <v>190</v>
      </c>
      <c r="F42" t="str">
        <f ca="1"/>
        <v>Pravinkumar Shankar Patil</v>
      </c>
    </row>
    <row r="43" spans="1:6" ht="15" customHeight="1" x14ac:dyDescent="0.25">
      <c r="A43" s="13" t="s">
        <v>191</v>
      </c>
      <c r="B43" s="12" t="s">
        <v>192</v>
      </c>
      <c r="C43" s="12" t="s">
        <v>22</v>
      </c>
      <c r="D43" s="14" t="s">
        <v>124</v>
      </c>
      <c r="F43" t="str">
        <f ca="1"/>
        <v>Hanumant Angad Chunge</v>
      </c>
    </row>
    <row r="44" spans="1:6" ht="15" customHeight="1" x14ac:dyDescent="0.25">
      <c r="A44" s="13" t="s">
        <v>193</v>
      </c>
      <c r="B44" s="12" t="s">
        <v>194</v>
      </c>
      <c r="C44" s="12" t="s">
        <v>6</v>
      </c>
      <c r="D44" s="14" t="s">
        <v>121</v>
      </c>
      <c r="F44" t="str">
        <f ca="1"/>
        <v>Ramchandra Ambadas Waghmare</v>
      </c>
    </row>
    <row r="45" spans="1:6" ht="15" customHeight="1" x14ac:dyDescent="0.25">
      <c r="A45" s="13" t="s">
        <v>195</v>
      </c>
      <c r="B45" s="12" t="s">
        <v>196</v>
      </c>
      <c r="C45" s="12" t="s">
        <v>6</v>
      </c>
      <c r="D45" s="14" t="s">
        <v>100</v>
      </c>
      <c r="F45" t="str">
        <f ca="1"/>
        <v>Akshay Dashrath Patil</v>
      </c>
    </row>
    <row r="46" spans="1:6" ht="15" customHeight="1" x14ac:dyDescent="0.25">
      <c r="A46" s="13" t="s">
        <v>197</v>
      </c>
      <c r="B46" s="12" t="s">
        <v>198</v>
      </c>
      <c r="C46" s="12" t="s">
        <v>14</v>
      </c>
      <c r="D46" s="14" t="s">
        <v>121</v>
      </c>
      <c r="F46" t="str">
        <f ca="1"/>
        <v>Anand Shrikant Kanaka</v>
      </c>
    </row>
    <row r="47" spans="1:6" ht="15" customHeight="1" x14ac:dyDescent="0.25">
      <c r="A47" s="13" t="s">
        <v>199</v>
      </c>
      <c r="B47" s="12" t="s">
        <v>200</v>
      </c>
      <c r="C47" s="12" t="s">
        <v>12</v>
      </c>
      <c r="D47" s="14" t="s">
        <v>156</v>
      </c>
      <c r="F47" t="str">
        <f ca="1"/>
        <v>Sachin Shrikisan Jadhav</v>
      </c>
    </row>
    <row r="48" spans="1:6" ht="15" customHeight="1" x14ac:dyDescent="0.25">
      <c r="A48" s="13" t="s">
        <v>201</v>
      </c>
      <c r="B48" s="12" t="s">
        <v>202</v>
      </c>
      <c r="C48" s="12" t="s">
        <v>6</v>
      </c>
      <c r="D48" s="14" t="s">
        <v>156</v>
      </c>
      <c r="F48" t="str">
        <f ca="1"/>
        <v>Parshuram Bharat Kokane</v>
      </c>
    </row>
    <row r="49" spans="1:6" ht="15" customHeight="1" x14ac:dyDescent="0.25">
      <c r="A49" s="13" t="s">
        <v>203</v>
      </c>
      <c r="B49" s="12" t="s">
        <v>204</v>
      </c>
      <c r="C49" s="12" t="s">
        <v>23</v>
      </c>
      <c r="D49" s="14" t="s">
        <v>205</v>
      </c>
      <c r="F49" t="str">
        <f ca="1"/>
        <v>Vishal Vishwanath Dhavan</v>
      </c>
    </row>
    <row r="50" spans="1:6" ht="15" customHeight="1" x14ac:dyDescent="0.25">
      <c r="A50" s="13" t="s">
        <v>206</v>
      </c>
      <c r="B50" s="12" t="s">
        <v>207</v>
      </c>
      <c r="C50" s="12" t="s">
        <v>6</v>
      </c>
      <c r="D50" s="14" t="s">
        <v>121</v>
      </c>
      <c r="F50" t="str">
        <f ca="1"/>
        <v>Suraj Prakash Shinde</v>
      </c>
    </row>
    <row r="51" spans="1:6" ht="15" customHeight="1" x14ac:dyDescent="0.25">
      <c r="A51" s="13" t="s">
        <v>208</v>
      </c>
      <c r="B51" s="12" t="s">
        <v>209</v>
      </c>
      <c r="C51" s="12" t="s">
        <v>24</v>
      </c>
      <c r="D51" s="14" t="s">
        <v>108</v>
      </c>
      <c r="F51" t="str">
        <f ca="1"/>
        <v>Ratanesh Jayhind Kumar</v>
      </c>
    </row>
    <row r="52" spans="1:6" ht="15" customHeight="1" x14ac:dyDescent="0.25">
      <c r="A52" s="13" t="s">
        <v>210</v>
      </c>
      <c r="B52" s="12" t="s">
        <v>211</v>
      </c>
      <c r="C52" s="12" t="s">
        <v>18</v>
      </c>
      <c r="D52" s="14" t="s">
        <v>134</v>
      </c>
      <c r="F52" t="str">
        <f ca="1"/>
        <v>Krishnkumar Bhuneshwar Singh</v>
      </c>
    </row>
    <row r="53" spans="1:6" ht="15" customHeight="1" x14ac:dyDescent="0.25">
      <c r="A53" s="13" t="s">
        <v>212</v>
      </c>
      <c r="B53" s="12" t="s">
        <v>213</v>
      </c>
      <c r="C53" s="12" t="s">
        <v>18</v>
      </c>
      <c r="D53" s="14" t="s">
        <v>121</v>
      </c>
      <c r="F53" t="str">
        <f ca="1"/>
        <v>Shahnawaz Ahmad Nadaf</v>
      </c>
    </row>
    <row r="54" spans="1:6" ht="15" customHeight="1" x14ac:dyDescent="0.25">
      <c r="A54" s="13" t="s">
        <v>214</v>
      </c>
      <c r="B54" s="12" t="s">
        <v>215</v>
      </c>
      <c r="C54" s="12" t="s">
        <v>18</v>
      </c>
      <c r="D54" s="14" t="s">
        <v>111</v>
      </c>
      <c r="F54" t="str">
        <f ca="1"/>
        <v>Sameer Abdul Kadar Shaikh</v>
      </c>
    </row>
    <row r="55" spans="1:6" ht="15" customHeight="1" x14ac:dyDescent="0.25">
      <c r="A55" s="13" t="s">
        <v>216</v>
      </c>
      <c r="B55" s="12" t="s">
        <v>217</v>
      </c>
      <c r="C55" s="12" t="s">
        <v>23</v>
      </c>
      <c r="D55" s="14" t="s">
        <v>205</v>
      </c>
      <c r="F55" t="str">
        <f ca="1"/>
        <v>Santosh Devalu Chavan</v>
      </c>
    </row>
    <row r="56" spans="1:6" ht="15" customHeight="1" x14ac:dyDescent="0.25">
      <c r="A56" s="13" t="s">
        <v>218</v>
      </c>
      <c r="B56" s="12" t="s">
        <v>219</v>
      </c>
      <c r="C56" s="12" t="s">
        <v>6</v>
      </c>
      <c r="D56" s="14" t="s">
        <v>100</v>
      </c>
      <c r="F56" t="str">
        <f ca="1"/>
        <v>Chandrashekhar Shambhu Shah</v>
      </c>
    </row>
    <row r="57" spans="1:6" ht="15" customHeight="1" x14ac:dyDescent="0.25">
      <c r="A57" s="13" t="s">
        <v>220</v>
      </c>
      <c r="B57" s="12" t="s">
        <v>221</v>
      </c>
      <c r="C57" s="12" t="s">
        <v>18</v>
      </c>
      <c r="D57" s="14" t="s">
        <v>134</v>
      </c>
      <c r="F57" t="str">
        <f ca="1"/>
        <v>Ajay Jayhind Yadav</v>
      </c>
    </row>
    <row r="58" spans="1:6" ht="15" customHeight="1" x14ac:dyDescent="0.25">
      <c r="A58" s="13" t="s">
        <v>222</v>
      </c>
      <c r="B58" s="12" t="s">
        <v>223</v>
      </c>
      <c r="C58" s="12" t="s">
        <v>18</v>
      </c>
      <c r="D58" s="14" t="s">
        <v>134</v>
      </c>
      <c r="F58" t="str">
        <f ca="1"/>
        <v>Anand Pandharinath Adalinge</v>
      </c>
    </row>
    <row r="59" spans="1:6" ht="15" customHeight="1" x14ac:dyDescent="0.25">
      <c r="A59" s="13" t="s">
        <v>224</v>
      </c>
      <c r="B59" s="12" t="s">
        <v>225</v>
      </c>
      <c r="C59" s="12" t="s">
        <v>6</v>
      </c>
      <c r="D59" s="14" t="s">
        <v>108</v>
      </c>
      <c r="F59" t="str">
        <f ca="1"/>
        <v>Bandu Shridhar Patil</v>
      </c>
    </row>
    <row r="60" spans="1:6" ht="15" customHeight="1" x14ac:dyDescent="0.25">
      <c r="A60" s="13" t="s">
        <v>226</v>
      </c>
      <c r="B60" s="12" t="s">
        <v>227</v>
      </c>
      <c r="C60" s="12" t="s">
        <v>14</v>
      </c>
      <c r="D60" s="14" t="s">
        <v>121</v>
      </c>
      <c r="F60" t="str">
        <f ca="1"/>
        <v>Sarjerav Laxman Mane</v>
      </c>
    </row>
    <row r="61" spans="1:6" ht="15" customHeight="1" x14ac:dyDescent="0.25">
      <c r="A61" s="13" t="s">
        <v>228</v>
      </c>
      <c r="B61" s="12" t="s">
        <v>229</v>
      </c>
      <c r="C61" s="12" t="s">
        <v>6</v>
      </c>
      <c r="D61" s="14" t="s">
        <v>116</v>
      </c>
      <c r="F61" t="str">
        <f ca="1"/>
        <v>Salim Babu Patil</v>
      </c>
    </row>
    <row r="62" spans="1:6" ht="15" customHeight="1" x14ac:dyDescent="0.25">
      <c r="A62" s="13" t="s">
        <v>230</v>
      </c>
      <c r="B62" s="12" t="s">
        <v>231</v>
      </c>
      <c r="C62" s="12" t="s">
        <v>23</v>
      </c>
      <c r="D62" s="14" t="s">
        <v>205</v>
      </c>
      <c r="F62" t="str">
        <f ca="1"/>
        <v>Prashant Rajkumar Ghogare</v>
      </c>
    </row>
    <row r="63" spans="1:6" ht="15" customHeight="1" x14ac:dyDescent="0.25">
      <c r="A63" s="13" t="s">
        <v>232</v>
      </c>
      <c r="B63" s="12" t="s">
        <v>233</v>
      </c>
      <c r="C63" s="12" t="s">
        <v>25</v>
      </c>
      <c r="D63" s="14" t="s">
        <v>111</v>
      </c>
      <c r="F63" t="str">
        <f ca="1"/>
        <v>Dattatray Ravikiran Harkud</v>
      </c>
    </row>
    <row r="64" spans="1:6" ht="15" customHeight="1" x14ac:dyDescent="0.25">
      <c r="A64" s="13" t="s">
        <v>234</v>
      </c>
      <c r="B64" s="12" t="s">
        <v>235</v>
      </c>
      <c r="C64" s="12" t="s">
        <v>26</v>
      </c>
      <c r="D64" s="14" t="s">
        <v>156</v>
      </c>
      <c r="F64" t="str">
        <f ca="1"/>
        <v>Balbhim Dadarao Kale</v>
      </c>
    </row>
    <row r="65" spans="1:6" ht="15" customHeight="1" x14ac:dyDescent="0.25">
      <c r="A65" s="13" t="s">
        <v>236</v>
      </c>
      <c r="B65" s="12" t="s">
        <v>237</v>
      </c>
      <c r="C65" s="12" t="s">
        <v>18</v>
      </c>
      <c r="D65" s="14" t="s">
        <v>108</v>
      </c>
      <c r="F65" t="str">
        <f ca="1"/>
        <v>Johnson Joseph Paul</v>
      </c>
    </row>
    <row r="66" spans="1:6" ht="15" customHeight="1" x14ac:dyDescent="0.25">
      <c r="A66" s="13" t="s">
        <v>238</v>
      </c>
      <c r="B66" s="12" t="s">
        <v>239</v>
      </c>
      <c r="C66" s="12" t="s">
        <v>18</v>
      </c>
      <c r="D66" s="14" t="s">
        <v>134</v>
      </c>
      <c r="F66" t="str">
        <f ca="1"/>
        <v>Khairul Basar Mollah</v>
      </c>
    </row>
    <row r="67" spans="1:6" ht="15" customHeight="1" x14ac:dyDescent="0.25">
      <c r="A67" s="13" t="s">
        <v>240</v>
      </c>
      <c r="B67" s="12" t="s">
        <v>241</v>
      </c>
      <c r="C67" s="12" t="s">
        <v>17</v>
      </c>
      <c r="D67" s="14" t="s">
        <v>242</v>
      </c>
      <c r="F67" t="str">
        <f ca="1"/>
        <v>Santosh Singeshwar Barma</v>
      </c>
    </row>
    <row r="68" spans="1:6" ht="15" customHeight="1" x14ac:dyDescent="0.25">
      <c r="A68" s="13" t="s">
        <v>243</v>
      </c>
      <c r="B68" s="12" t="s">
        <v>244</v>
      </c>
      <c r="C68" s="12" t="s">
        <v>14</v>
      </c>
      <c r="D68" s="14" t="s">
        <v>245</v>
      </c>
      <c r="F68" t="str">
        <f ca="1"/>
        <v>Somnath Nana Asabe</v>
      </c>
    </row>
    <row r="69" spans="1:6" ht="15" customHeight="1" x14ac:dyDescent="0.25">
      <c r="A69" s="13" t="s">
        <v>246</v>
      </c>
      <c r="B69" s="12" t="s">
        <v>247</v>
      </c>
      <c r="C69" s="12" t="s">
        <v>6</v>
      </c>
      <c r="D69" s="14" t="s">
        <v>190</v>
      </c>
      <c r="F69" t="str">
        <f ca="1"/>
        <v>Bharat Nandkumar Gaikwad</v>
      </c>
    </row>
    <row r="70" spans="1:6" ht="15" customHeight="1" x14ac:dyDescent="0.25">
      <c r="A70" s="13" t="s">
        <v>248</v>
      </c>
      <c r="B70" s="12" t="s">
        <v>249</v>
      </c>
      <c r="C70" s="12" t="s">
        <v>24</v>
      </c>
      <c r="D70" s="14" t="s">
        <v>250</v>
      </c>
      <c r="F70" t="str">
        <f ca="1"/>
        <v>Balaji Ganpat Chavan</v>
      </c>
    </row>
    <row r="71" spans="1:6" ht="15" customHeight="1" x14ac:dyDescent="0.25">
      <c r="A71" s="13" t="s">
        <v>251</v>
      </c>
      <c r="B71" s="12" t="s">
        <v>252</v>
      </c>
      <c r="C71" s="12" t="s">
        <v>24</v>
      </c>
      <c r="D71" s="14" t="s">
        <v>250</v>
      </c>
      <c r="F71" t="str">
        <f ca="1"/>
        <v>Suhas Sunil Sathe</v>
      </c>
    </row>
    <row r="72" spans="1:6" ht="15" customHeight="1" x14ac:dyDescent="0.25">
      <c r="A72" s="13" t="s">
        <v>253</v>
      </c>
      <c r="B72" s="12" t="s">
        <v>254</v>
      </c>
      <c r="C72" s="12" t="s">
        <v>17</v>
      </c>
      <c r="D72" s="14" t="s">
        <v>183</v>
      </c>
      <c r="F72" t="str">
        <f ca="1"/>
        <v>Mahadev Navnath Kengar</v>
      </c>
    </row>
    <row r="73" spans="1:6" ht="15" customHeight="1" x14ac:dyDescent="0.25">
      <c r="A73" s="13" t="s">
        <v>255</v>
      </c>
      <c r="B73" s="12" t="s">
        <v>256</v>
      </c>
      <c r="C73" s="12" t="s">
        <v>3</v>
      </c>
      <c r="D73" s="14" t="s">
        <v>257</v>
      </c>
      <c r="F73" t="str">
        <f ca="1"/>
        <v>Balasaheb Sitaram Shendage</v>
      </c>
    </row>
    <row r="74" spans="1:6" ht="15" customHeight="1" x14ac:dyDescent="0.25">
      <c r="A74" s="13" t="s">
        <v>258</v>
      </c>
      <c r="B74" s="12" t="s">
        <v>259</v>
      </c>
      <c r="C74" s="12" t="s">
        <v>24</v>
      </c>
      <c r="D74" s="14" t="s">
        <v>108</v>
      </c>
      <c r="F74" t="str">
        <f ca="1"/>
        <v>Akash Mukesh Bandpatte</v>
      </c>
    </row>
    <row r="75" spans="1:6" ht="15" customHeight="1" x14ac:dyDescent="0.25">
      <c r="A75" s="13" t="s">
        <v>260</v>
      </c>
      <c r="B75" s="12" t="s">
        <v>261</v>
      </c>
      <c r="C75" s="12" t="s">
        <v>14</v>
      </c>
      <c r="D75" s="14" t="s">
        <v>100</v>
      </c>
      <c r="F75" t="str">
        <f ca="1"/>
        <v>Sagar Sadashiv Bhajibhakare</v>
      </c>
    </row>
    <row r="76" spans="1:6" ht="15" customHeight="1" x14ac:dyDescent="0.25">
      <c r="A76" s="13" t="s">
        <v>262</v>
      </c>
      <c r="B76" s="12" t="s">
        <v>263</v>
      </c>
      <c r="C76" s="12" t="s">
        <v>23</v>
      </c>
      <c r="D76" s="14" t="s">
        <v>121</v>
      </c>
      <c r="F76" t="str">
        <f ca="1"/>
        <v>Pandurang Dagadu Ingale</v>
      </c>
    </row>
    <row r="77" spans="1:6" ht="15" customHeight="1" x14ac:dyDescent="0.25">
      <c r="A77" s="13" t="s">
        <v>264</v>
      </c>
      <c r="B77" s="12" t="s">
        <v>265</v>
      </c>
      <c r="C77" s="12" t="s">
        <v>6</v>
      </c>
      <c r="D77" s="14" t="s">
        <v>116</v>
      </c>
      <c r="F77" t="str">
        <f ca="1"/>
        <v>Ranjit Sudhakar Patil</v>
      </c>
    </row>
    <row r="78" spans="1:6" ht="15" customHeight="1" x14ac:dyDescent="0.25">
      <c r="A78" s="13" t="s">
        <v>266</v>
      </c>
      <c r="B78" s="12" t="s">
        <v>267</v>
      </c>
      <c r="C78" s="12" t="s">
        <v>6</v>
      </c>
      <c r="D78" s="14" t="s">
        <v>268</v>
      </c>
      <c r="F78" t="str">
        <f ca="1"/>
        <v>Ganesh Shivaji Niture</v>
      </c>
    </row>
    <row r="79" spans="1:6" ht="15" customHeight="1" x14ac:dyDescent="0.25">
      <c r="A79" s="13" t="s">
        <v>269</v>
      </c>
      <c r="B79" s="12" t="s">
        <v>270</v>
      </c>
      <c r="C79" s="12" t="s">
        <v>18</v>
      </c>
      <c r="D79" s="14" t="s">
        <v>271</v>
      </c>
      <c r="F79" t="str">
        <f ca="1"/>
        <v>Pramod Sarjerao Shikhare</v>
      </c>
    </row>
    <row r="80" spans="1:6" ht="15" customHeight="1" x14ac:dyDescent="0.25">
      <c r="A80" s="13" t="s">
        <v>272</v>
      </c>
      <c r="B80" s="12" t="s">
        <v>273</v>
      </c>
      <c r="C80" s="12" t="s">
        <v>17</v>
      </c>
      <c r="D80" s="14" t="s">
        <v>183</v>
      </c>
      <c r="F80" t="str">
        <f ca="1"/>
        <v>Sourabh Subhash Magar</v>
      </c>
    </row>
    <row r="81" spans="1:6" ht="15" customHeight="1" x14ac:dyDescent="0.25">
      <c r="A81" s="13" t="s">
        <v>274</v>
      </c>
      <c r="B81" s="12" t="s">
        <v>275</v>
      </c>
      <c r="C81" s="12" t="s">
        <v>14</v>
      </c>
      <c r="D81" s="14" t="s">
        <v>97</v>
      </c>
      <c r="F81" t="str">
        <f ca="1"/>
        <v>Nagesh Maruti Pawar</v>
      </c>
    </row>
    <row r="82" spans="1:6" ht="15" customHeight="1" x14ac:dyDescent="0.25">
      <c r="A82" s="13" t="s">
        <v>276</v>
      </c>
      <c r="B82" s="12" t="s">
        <v>277</v>
      </c>
      <c r="C82" s="12" t="s">
        <v>14</v>
      </c>
      <c r="D82" s="14" t="s">
        <v>245</v>
      </c>
      <c r="F82" t="str">
        <f ca="1"/>
        <v>Surajitsing Panchamsing Raghuvanshi</v>
      </c>
    </row>
    <row r="83" spans="1:6" ht="15" customHeight="1" x14ac:dyDescent="0.25">
      <c r="A83" s="13" t="s">
        <v>278</v>
      </c>
      <c r="B83" s="12" t="s">
        <v>279</v>
      </c>
      <c r="C83" s="12" t="s">
        <v>17</v>
      </c>
      <c r="D83" s="14" t="s">
        <v>183</v>
      </c>
      <c r="F83" t="str">
        <f ca="1"/>
        <v>Ramesh Hanmant Linbitote</v>
      </c>
    </row>
    <row r="84" spans="1:6" ht="15" customHeight="1" x14ac:dyDescent="0.25">
      <c r="A84" s="13" t="s">
        <v>280</v>
      </c>
      <c r="B84" s="12" t="s">
        <v>281</v>
      </c>
      <c r="C84" s="12" t="s">
        <v>6</v>
      </c>
      <c r="D84" s="14" t="s">
        <v>116</v>
      </c>
      <c r="F84" t="str">
        <f ca="1"/>
        <v>Sayyad Ieesmaieel Karbhari</v>
      </c>
    </row>
    <row r="85" spans="1:6" ht="15" customHeight="1" x14ac:dyDescent="0.25">
      <c r="A85" s="13" t="s">
        <v>282</v>
      </c>
      <c r="B85" s="12" t="s">
        <v>283</v>
      </c>
      <c r="C85" s="12" t="s">
        <v>6</v>
      </c>
      <c r="D85" s="14" t="s">
        <v>108</v>
      </c>
      <c r="F85" t="str">
        <f ca="1"/>
        <v>Krushnat Ramdas Ingole</v>
      </c>
    </row>
    <row r="86" spans="1:6" ht="15" customHeight="1" x14ac:dyDescent="0.25">
      <c r="A86" s="13" t="s">
        <v>284</v>
      </c>
      <c r="B86" s="12" t="s">
        <v>285</v>
      </c>
      <c r="C86" s="12" t="s">
        <v>6</v>
      </c>
      <c r="D86" s="14" t="s">
        <v>116</v>
      </c>
      <c r="F86" t="str">
        <f ca="1"/>
        <v>Pramod Tanaji Koli</v>
      </c>
    </row>
    <row r="87" spans="1:6" ht="15" customHeight="1" x14ac:dyDescent="0.25">
      <c r="A87" s="13" t="s">
        <v>286</v>
      </c>
      <c r="B87" s="12" t="s">
        <v>287</v>
      </c>
      <c r="C87" s="12" t="s">
        <v>6</v>
      </c>
      <c r="D87" s="14" t="s">
        <v>121</v>
      </c>
      <c r="F87" t="str">
        <f ca="1"/>
        <v>Manik Sarjerao Hasabe</v>
      </c>
    </row>
    <row r="88" spans="1:6" ht="15" customHeight="1" x14ac:dyDescent="0.25">
      <c r="A88" s="13" t="s">
        <v>288</v>
      </c>
      <c r="B88" s="12" t="s">
        <v>289</v>
      </c>
      <c r="C88" s="12" t="s">
        <v>28</v>
      </c>
      <c r="D88" s="14" t="s">
        <v>124</v>
      </c>
      <c r="F88" t="str">
        <f ca="1"/>
        <v>Pramod Shrikrishna Bhosale</v>
      </c>
    </row>
    <row r="89" spans="1:6" ht="15" customHeight="1" x14ac:dyDescent="0.25">
      <c r="A89" s="13" t="s">
        <v>290</v>
      </c>
      <c r="B89" s="12" t="s">
        <v>291</v>
      </c>
      <c r="C89" s="12" t="s">
        <v>25</v>
      </c>
      <c r="D89" s="14" t="s">
        <v>124</v>
      </c>
      <c r="F89" t="str">
        <f ca="1"/>
        <v>Amol Prakash Chaudhari</v>
      </c>
    </row>
    <row r="90" spans="1:6" ht="15" customHeight="1" x14ac:dyDescent="0.25">
      <c r="A90" s="13" t="s">
        <v>292</v>
      </c>
      <c r="B90" s="12" t="s">
        <v>293</v>
      </c>
      <c r="C90" s="12" t="s">
        <v>16</v>
      </c>
      <c r="D90" s="14" t="s">
        <v>149</v>
      </c>
      <c r="F90" t="str">
        <f ca="1"/>
        <v>Vijay Vyankappa Magnur</v>
      </c>
    </row>
    <row r="91" spans="1:6" ht="15" customHeight="1" x14ac:dyDescent="0.25">
      <c r="A91" s="13" t="s">
        <v>294</v>
      </c>
      <c r="B91" s="12" t="s">
        <v>295</v>
      </c>
      <c r="C91" s="12" t="s">
        <v>17</v>
      </c>
      <c r="D91" s="14" t="s">
        <v>183</v>
      </c>
      <c r="F91" t="str">
        <f ca="1"/>
        <v>Kausar Abdul Rajjak Sayyad</v>
      </c>
    </row>
    <row r="92" spans="1:6" ht="15" customHeight="1" x14ac:dyDescent="0.25">
      <c r="A92" s="13" t="s">
        <v>296</v>
      </c>
      <c r="B92" s="12" t="s">
        <v>297</v>
      </c>
      <c r="C92" s="12" t="s">
        <v>14</v>
      </c>
      <c r="D92" s="14" t="s">
        <v>298</v>
      </c>
      <c r="F92" t="str">
        <f ca="1"/>
        <v>Navanath Arjun Shep</v>
      </c>
    </row>
    <row r="93" spans="1:6" ht="15" customHeight="1" x14ac:dyDescent="0.25">
      <c r="A93" s="13" t="s">
        <v>299</v>
      </c>
      <c r="B93" s="12" t="s">
        <v>300</v>
      </c>
      <c r="C93" s="12" t="s">
        <v>28</v>
      </c>
      <c r="D93" s="14" t="s">
        <v>242</v>
      </c>
      <c r="F93" t="str">
        <f ca="1"/>
        <v>Daulatrao Balasaheb Patil</v>
      </c>
    </row>
    <row r="94" spans="1:6" ht="15" customHeight="1" x14ac:dyDescent="0.25">
      <c r="A94" s="13" t="s">
        <v>301</v>
      </c>
      <c r="B94" s="12" t="s">
        <v>302</v>
      </c>
      <c r="C94" s="12" t="s">
        <v>17</v>
      </c>
      <c r="D94" s="14" t="s">
        <v>183</v>
      </c>
      <c r="F94" t="str">
        <f ca="1"/>
        <v>Basawaraj Sanjay Swami</v>
      </c>
    </row>
    <row r="95" spans="1:6" ht="15" customHeight="1" x14ac:dyDescent="0.25">
      <c r="A95" s="13" t="s">
        <v>303</v>
      </c>
      <c r="B95" s="12" t="s">
        <v>304</v>
      </c>
      <c r="C95" s="12" t="s">
        <v>6</v>
      </c>
      <c r="D95" s="14" t="s">
        <v>121</v>
      </c>
      <c r="F95" t="str">
        <f ca="1"/>
        <v>Vikas Kashinath Kale</v>
      </c>
    </row>
    <row r="96" spans="1:6" ht="15" customHeight="1" x14ac:dyDescent="0.25">
      <c r="A96" s="13" t="s">
        <v>305</v>
      </c>
      <c r="B96" s="12" t="s">
        <v>306</v>
      </c>
      <c r="C96" s="12" t="s">
        <v>29</v>
      </c>
      <c r="D96" s="14" t="s">
        <v>307</v>
      </c>
      <c r="F96" t="str">
        <f ca="1"/>
        <v>Abdul Afsar Shaikh</v>
      </c>
    </row>
    <row r="97" spans="1:6" ht="15" customHeight="1" x14ac:dyDescent="0.25">
      <c r="A97" s="13" t="s">
        <v>308</v>
      </c>
      <c r="B97" s="12" t="s">
        <v>309</v>
      </c>
      <c r="C97" s="12" t="s">
        <v>6</v>
      </c>
      <c r="D97" s="14" t="s">
        <v>121</v>
      </c>
      <c r="F97" t="str">
        <f ca="1"/>
        <v>Ajhar Akbar Shaikh</v>
      </c>
    </row>
    <row r="98" spans="1:6" ht="15" customHeight="1" x14ac:dyDescent="0.25">
      <c r="A98" s="13" t="s">
        <v>310</v>
      </c>
      <c r="B98" s="12" t="s">
        <v>311</v>
      </c>
      <c r="C98" s="12" t="s">
        <v>6</v>
      </c>
      <c r="D98" s="14" t="s">
        <v>121</v>
      </c>
      <c r="F98" t="str">
        <f ca="1"/>
        <v>Pradeep Shrikisan Jadhav</v>
      </c>
    </row>
    <row r="99" spans="1:6" ht="15" customHeight="1" x14ac:dyDescent="0.25">
      <c r="A99" s="13" t="s">
        <v>312</v>
      </c>
      <c r="B99" s="12" t="s">
        <v>313</v>
      </c>
      <c r="C99" s="12" t="s">
        <v>6</v>
      </c>
      <c r="D99" s="14" t="s">
        <v>121</v>
      </c>
      <c r="F99" t="str">
        <f ca="1"/>
        <v>Yogesh Laxmaiah Ailolla</v>
      </c>
    </row>
    <row r="100" spans="1:6" ht="15" customHeight="1" x14ac:dyDescent="0.25">
      <c r="A100" s="13" t="s">
        <v>314</v>
      </c>
      <c r="B100" s="12" t="s">
        <v>315</v>
      </c>
      <c r="C100" s="12" t="s">
        <v>16</v>
      </c>
      <c r="D100" s="14" t="s">
        <v>111</v>
      </c>
      <c r="F100" t="str">
        <f ca="1"/>
        <v>Amir Abbasali Pathan</v>
      </c>
    </row>
    <row r="101" spans="1:6" ht="15" customHeight="1" x14ac:dyDescent="0.25">
      <c r="A101" s="13" t="s">
        <v>316</v>
      </c>
      <c r="B101" s="12" t="s">
        <v>317</v>
      </c>
      <c r="C101" s="12" t="s">
        <v>24</v>
      </c>
      <c r="D101" s="14" t="s">
        <v>250</v>
      </c>
      <c r="F101" t="str">
        <f ca="1"/>
        <v>Adinath Bhojling Sonavane</v>
      </c>
    </row>
    <row r="102" spans="1:6" ht="15" customHeight="1" x14ac:dyDescent="0.25">
      <c r="A102" s="13" t="s">
        <v>318</v>
      </c>
      <c r="B102" s="12" t="s">
        <v>319</v>
      </c>
      <c r="C102" s="12" t="s">
        <v>28</v>
      </c>
      <c r="D102" s="14" t="s">
        <v>121</v>
      </c>
      <c r="F102" t="str">
        <f ca="1"/>
        <v>Siddeshwar Mahadev More</v>
      </c>
    </row>
    <row r="103" spans="1:6" ht="15" customHeight="1" x14ac:dyDescent="0.25">
      <c r="A103" s="13" t="s">
        <v>320</v>
      </c>
      <c r="B103" s="12" t="s">
        <v>321</v>
      </c>
      <c r="C103" s="12" t="s">
        <v>23</v>
      </c>
      <c r="D103" s="14" t="s">
        <v>108</v>
      </c>
      <c r="F103" t="str">
        <f ca="1"/>
        <v>Samadhan Kalyan Wabale</v>
      </c>
    </row>
    <row r="104" spans="1:6" ht="15" customHeight="1" x14ac:dyDescent="0.25">
      <c r="A104" s="13" t="s">
        <v>322</v>
      </c>
      <c r="B104" s="12" t="s">
        <v>323</v>
      </c>
      <c r="C104" s="12" t="s">
        <v>30</v>
      </c>
      <c r="D104" s="14" t="s">
        <v>111</v>
      </c>
      <c r="F104" t="str">
        <f ca="1"/>
        <v>Amol Shrinivas Adaki</v>
      </c>
    </row>
    <row r="105" spans="1:6" ht="15" customHeight="1" x14ac:dyDescent="0.25">
      <c r="A105" s="13" t="s">
        <v>324</v>
      </c>
      <c r="B105" s="12" t="s">
        <v>325</v>
      </c>
      <c r="C105" s="12" t="s">
        <v>6</v>
      </c>
      <c r="D105" s="14" t="s">
        <v>97</v>
      </c>
      <c r="F105" t="str">
        <f ca="1"/>
        <v>Mahadev Balu Fand</v>
      </c>
    </row>
    <row r="106" spans="1:6" ht="15" customHeight="1" x14ac:dyDescent="0.25">
      <c r="A106" s="13" t="s">
        <v>326</v>
      </c>
      <c r="B106" s="12" t="s">
        <v>327</v>
      </c>
      <c r="C106" s="12" t="s">
        <v>17</v>
      </c>
      <c r="D106" s="14" t="s">
        <v>183</v>
      </c>
      <c r="F106" t="str">
        <f ca="1"/>
        <v>Amarnath Suresh Karpe</v>
      </c>
    </row>
    <row r="107" spans="1:6" ht="15" customHeight="1" x14ac:dyDescent="0.25">
      <c r="A107" s="13" t="s">
        <v>328</v>
      </c>
      <c r="B107" s="12" t="s">
        <v>329</v>
      </c>
      <c r="C107" s="12" t="s">
        <v>18</v>
      </c>
      <c r="D107" s="14" t="s">
        <v>134</v>
      </c>
      <c r="F107" t="str">
        <f ca="1"/>
        <v>Navanath Tukaram Salunkhe</v>
      </c>
    </row>
    <row r="108" spans="1:6" ht="15" customHeight="1" x14ac:dyDescent="0.25">
      <c r="A108" s="13" t="s">
        <v>330</v>
      </c>
      <c r="B108" s="12" t="s">
        <v>331</v>
      </c>
      <c r="C108" s="12" t="s">
        <v>28</v>
      </c>
      <c r="D108" s="14" t="s">
        <v>332</v>
      </c>
      <c r="F108" t="str">
        <f ca="1"/>
        <v>Taufik M Hanif Shaikh</v>
      </c>
    </row>
    <row r="109" spans="1:6" ht="15" customHeight="1" x14ac:dyDescent="0.25">
      <c r="A109" s="13" t="s">
        <v>333</v>
      </c>
      <c r="B109" s="12" t="s">
        <v>334</v>
      </c>
      <c r="C109" s="12" t="s">
        <v>24</v>
      </c>
      <c r="D109" s="14" t="s">
        <v>97</v>
      </c>
      <c r="F109" t="str">
        <f ca="1"/>
        <v>Sangram Shrikant Dhavane</v>
      </c>
    </row>
    <row r="110" spans="1:6" ht="15" customHeight="1" x14ac:dyDescent="0.25">
      <c r="A110" s="13" t="s">
        <v>335</v>
      </c>
      <c r="B110" s="12" t="s">
        <v>336</v>
      </c>
      <c r="C110" s="12" t="s">
        <v>24</v>
      </c>
      <c r="D110" s="14" t="s">
        <v>337</v>
      </c>
      <c r="F110" t="str">
        <f ca="1"/>
        <v>Tukaram Vitthal Rajmane</v>
      </c>
    </row>
    <row r="111" spans="1:6" ht="15" customHeight="1" x14ac:dyDescent="0.25">
      <c r="A111" s="13" t="s">
        <v>338</v>
      </c>
      <c r="B111" s="12" t="s">
        <v>339</v>
      </c>
      <c r="C111" s="12" t="s">
        <v>24</v>
      </c>
      <c r="D111" s="14" t="s">
        <v>340</v>
      </c>
      <c r="F111" t="str">
        <f ca="1"/>
        <v>Sachin Jyotiram Kusekar</v>
      </c>
    </row>
    <row r="112" spans="1:6" ht="15" customHeight="1" x14ac:dyDescent="0.25">
      <c r="A112" s="13" t="s">
        <v>341</v>
      </c>
      <c r="B112" s="12" t="s">
        <v>342</v>
      </c>
      <c r="C112" s="12" t="s">
        <v>6</v>
      </c>
      <c r="D112" s="14" t="s">
        <v>116</v>
      </c>
      <c r="F112" t="str">
        <f ca="1"/>
        <v>Vijaykumar Bhimashankar Gurao</v>
      </c>
    </row>
    <row r="113" spans="1:6" ht="15" customHeight="1" x14ac:dyDescent="0.25">
      <c r="A113" s="13" t="s">
        <v>343</v>
      </c>
      <c r="B113" s="12" t="s">
        <v>344</v>
      </c>
      <c r="C113" s="12" t="s">
        <v>18</v>
      </c>
      <c r="D113" s="14" t="s">
        <v>100</v>
      </c>
      <c r="F113" t="str">
        <f ca="1"/>
        <v>Dipak Tulshiram Tiwarase</v>
      </c>
    </row>
    <row r="114" spans="1:6" ht="15" customHeight="1" x14ac:dyDescent="0.25">
      <c r="A114" s="13" t="s">
        <v>345</v>
      </c>
      <c r="B114" s="12" t="s">
        <v>346</v>
      </c>
      <c r="C114" s="12" t="s">
        <v>14</v>
      </c>
      <c r="D114" s="14" t="s">
        <v>100</v>
      </c>
      <c r="F114" t="str">
        <f ca="1"/>
        <v>Rahul Sanjivan Kharadkar</v>
      </c>
    </row>
    <row r="115" spans="1:6" ht="15" customHeight="1" x14ac:dyDescent="0.25">
      <c r="A115" s="13" t="s">
        <v>347</v>
      </c>
      <c r="B115" s="12" t="s">
        <v>348</v>
      </c>
      <c r="C115" s="12" t="s">
        <v>25</v>
      </c>
      <c r="D115" s="14" t="s">
        <v>111</v>
      </c>
      <c r="F115" t="str">
        <f ca="1"/>
        <v>Sudarshan Indrajit Jadhav</v>
      </c>
    </row>
    <row r="116" spans="1:6" ht="15" customHeight="1" x14ac:dyDescent="0.25">
      <c r="A116" s="13" t="s">
        <v>349</v>
      </c>
      <c r="B116" s="12" t="s">
        <v>350</v>
      </c>
      <c r="C116" s="12" t="s">
        <v>24</v>
      </c>
      <c r="D116" s="14" t="s">
        <v>111</v>
      </c>
      <c r="F116" t="str">
        <f ca="1"/>
        <v>Channappa Sanganna Balundagi</v>
      </c>
    </row>
    <row r="117" spans="1:6" ht="15" customHeight="1" x14ac:dyDescent="0.25">
      <c r="A117" s="13" t="s">
        <v>351</v>
      </c>
      <c r="B117" s="12" t="s">
        <v>352</v>
      </c>
      <c r="C117" s="12" t="s">
        <v>14</v>
      </c>
      <c r="D117" s="14" t="s">
        <v>100</v>
      </c>
      <c r="F117" t="str">
        <f ca="1"/>
        <v>Shivaji Pandurang Raut</v>
      </c>
    </row>
    <row r="118" spans="1:6" ht="15" customHeight="1" x14ac:dyDescent="0.25">
      <c r="A118" s="13" t="s">
        <v>353</v>
      </c>
      <c r="B118" s="12" t="s">
        <v>354</v>
      </c>
      <c r="C118" s="12" t="s">
        <v>25</v>
      </c>
      <c r="D118" s="14" t="s">
        <v>111</v>
      </c>
      <c r="F118" t="str">
        <f ca="1"/>
        <v>Shekhar Uttareshwar Madiwal</v>
      </c>
    </row>
    <row r="119" spans="1:6" ht="15" customHeight="1" x14ac:dyDescent="0.25">
      <c r="A119" s="13" t="s">
        <v>355</v>
      </c>
      <c r="B119" s="12" t="s">
        <v>356</v>
      </c>
      <c r="C119" s="12" t="s">
        <v>6</v>
      </c>
      <c r="D119" s="14" t="s">
        <v>116</v>
      </c>
      <c r="F119" t="str">
        <f ca="1"/>
        <v>Sanket Udaysinh Deshmukh</v>
      </c>
    </row>
    <row r="120" spans="1:6" ht="15" customHeight="1" x14ac:dyDescent="0.25">
      <c r="A120" s="13" t="s">
        <v>357</v>
      </c>
      <c r="B120" s="12" t="s">
        <v>358</v>
      </c>
      <c r="C120" s="12" t="s">
        <v>6</v>
      </c>
      <c r="D120" s="14" t="s">
        <v>121</v>
      </c>
      <c r="F120" t="str">
        <f ca="1"/>
        <v>Sameer Ansar Sayyad</v>
      </c>
    </row>
    <row r="121" spans="1:6" ht="15" customHeight="1" x14ac:dyDescent="0.25">
      <c r="A121" s="13" t="s">
        <v>359</v>
      </c>
      <c r="B121" s="12" t="s">
        <v>360</v>
      </c>
      <c r="C121" s="12" t="s">
        <v>6</v>
      </c>
      <c r="D121" s="14" t="s">
        <v>121</v>
      </c>
      <c r="F121" t="str">
        <f ca="1"/>
        <v>Shahir Prabhakar Vadaje</v>
      </c>
    </row>
    <row r="122" spans="1:6" ht="15" customHeight="1" x14ac:dyDescent="0.25">
      <c r="A122" s="13" t="s">
        <v>361</v>
      </c>
      <c r="B122" s="12" t="s">
        <v>362</v>
      </c>
      <c r="C122" s="12" t="s">
        <v>24</v>
      </c>
      <c r="D122" s="14" t="s">
        <v>250</v>
      </c>
      <c r="F122" t="str">
        <f ca="1"/>
        <v>Rameshwar Baburao Rukke</v>
      </c>
    </row>
    <row r="123" spans="1:6" ht="15" customHeight="1" x14ac:dyDescent="0.25">
      <c r="A123" s="13" t="s">
        <v>363</v>
      </c>
      <c r="B123" s="12" t="s">
        <v>364</v>
      </c>
      <c r="C123" s="12" t="s">
        <v>6</v>
      </c>
      <c r="D123" s="14" t="s">
        <v>116</v>
      </c>
      <c r="F123" t="str">
        <f ca="1"/>
        <v>Deepak Ravindra Mahajan</v>
      </c>
    </row>
    <row r="124" spans="1:6" ht="15" customHeight="1" x14ac:dyDescent="0.25">
      <c r="A124" s="13" t="s">
        <v>365</v>
      </c>
      <c r="B124" s="12" t="s">
        <v>366</v>
      </c>
      <c r="C124" s="12" t="s">
        <v>18</v>
      </c>
      <c r="D124" s="14" t="s">
        <v>134</v>
      </c>
      <c r="F124" t="str">
        <f ca="1"/>
        <v>Ravi Balasaheb Maske</v>
      </c>
    </row>
    <row r="125" spans="1:6" ht="15" customHeight="1" x14ac:dyDescent="0.25">
      <c r="A125" s="13" t="s">
        <v>367</v>
      </c>
      <c r="B125" s="12" t="s">
        <v>368</v>
      </c>
      <c r="C125" s="12" t="s">
        <v>6</v>
      </c>
      <c r="D125" s="14" t="s">
        <v>111</v>
      </c>
      <c r="F125" t="str">
        <f ca="1"/>
        <v>Dipak Sudam Gund</v>
      </c>
    </row>
    <row r="126" spans="1:6" ht="15" customHeight="1" x14ac:dyDescent="0.25">
      <c r="A126" s="13" t="s">
        <v>369</v>
      </c>
      <c r="B126" s="12" t="s">
        <v>370</v>
      </c>
      <c r="C126" s="12" t="s">
        <v>6</v>
      </c>
      <c r="D126" s="14" t="s">
        <v>371</v>
      </c>
      <c r="F126" t="str">
        <f ca="1"/>
        <v>Shubham Abasaheb Nehul</v>
      </c>
    </row>
    <row r="127" spans="1:6" ht="15" customHeight="1" x14ac:dyDescent="0.25">
      <c r="A127" s="13" t="s">
        <v>372</v>
      </c>
      <c r="B127" s="12" t="s">
        <v>373</v>
      </c>
      <c r="C127" s="12" t="s">
        <v>6</v>
      </c>
      <c r="D127" s="14" t="s">
        <v>116</v>
      </c>
      <c r="F127" t="str">
        <f ca="1"/>
        <v>Santosh Vilas Shinde</v>
      </c>
    </row>
    <row r="128" spans="1:6" ht="15" customHeight="1" x14ac:dyDescent="0.25">
      <c r="A128" s="13" t="s">
        <v>374</v>
      </c>
      <c r="B128" s="12" t="s">
        <v>375</v>
      </c>
      <c r="C128" s="12" t="s">
        <v>28</v>
      </c>
      <c r="D128" s="14" t="s">
        <v>111</v>
      </c>
      <c r="F128" t="str">
        <f ca="1"/>
        <v>Bhagyawan Chandrakant Gaikwad</v>
      </c>
    </row>
    <row r="129" spans="1:6" ht="15" customHeight="1" x14ac:dyDescent="0.25">
      <c r="A129" s="13" t="s">
        <v>376</v>
      </c>
      <c r="B129" s="12" t="s">
        <v>377</v>
      </c>
      <c r="C129" s="12" t="s">
        <v>6</v>
      </c>
      <c r="D129" s="14" t="s">
        <v>307</v>
      </c>
      <c r="F129" t="str">
        <f ca="1"/>
        <v>Dhirajkumar Shivaji Hadule</v>
      </c>
    </row>
    <row r="130" spans="1:6" ht="15" customHeight="1" x14ac:dyDescent="0.25">
      <c r="A130" s="13" t="s">
        <v>378</v>
      </c>
      <c r="B130" s="12" t="s">
        <v>379</v>
      </c>
      <c r="C130" s="12" t="s">
        <v>6</v>
      </c>
      <c r="D130" s="14" t="s">
        <v>121</v>
      </c>
      <c r="F130" t="str">
        <f ca="1"/>
        <v>Shrinivas Vyankatesh Wakitol</v>
      </c>
    </row>
    <row r="131" spans="1:6" ht="15" customHeight="1" x14ac:dyDescent="0.25">
      <c r="A131" s="13" t="s">
        <v>380</v>
      </c>
      <c r="B131" s="12" t="s">
        <v>381</v>
      </c>
      <c r="C131" s="12" t="s">
        <v>20</v>
      </c>
      <c r="D131" s="14" t="s">
        <v>271</v>
      </c>
      <c r="F131" t="str">
        <f ca="1"/>
        <v>Vikas Raghunath Yete</v>
      </c>
    </row>
    <row r="132" spans="1:6" ht="15" customHeight="1" x14ac:dyDescent="0.25">
      <c r="A132" s="13" t="s">
        <v>382</v>
      </c>
      <c r="B132" s="12" t="s">
        <v>383</v>
      </c>
      <c r="C132" s="12" t="s">
        <v>18</v>
      </c>
      <c r="D132" s="14" t="s">
        <v>134</v>
      </c>
      <c r="F132" t="str">
        <f ca="1"/>
        <v>Krishna Kumar Chandrika Yadav</v>
      </c>
    </row>
    <row r="133" spans="1:6" ht="15" customHeight="1" x14ac:dyDescent="0.25">
      <c r="A133" s="13" t="s">
        <v>384</v>
      </c>
      <c r="B133" s="12" t="s">
        <v>385</v>
      </c>
      <c r="C133" s="12" t="s">
        <v>6</v>
      </c>
      <c r="D133" s="14" t="s">
        <v>116</v>
      </c>
      <c r="F133" t="str">
        <f ca="1"/>
        <v>Pravinsing Onkarsing Pardeshi</v>
      </c>
    </row>
    <row r="134" spans="1:6" ht="15" customHeight="1" x14ac:dyDescent="0.25">
      <c r="A134" s="13" t="s">
        <v>386</v>
      </c>
      <c r="B134" s="12" t="s">
        <v>387</v>
      </c>
      <c r="C134" s="12" t="s">
        <v>17</v>
      </c>
      <c r="D134" s="14" t="s">
        <v>183</v>
      </c>
      <c r="F134" t="str">
        <f ca="1"/>
        <v>Prathmesh Balkrishna Patil</v>
      </c>
    </row>
    <row r="135" spans="1:6" ht="15" customHeight="1" x14ac:dyDescent="0.25">
      <c r="A135" s="13" t="s">
        <v>388</v>
      </c>
      <c r="B135" s="12" t="s">
        <v>389</v>
      </c>
      <c r="C135" s="12" t="s">
        <v>6</v>
      </c>
      <c r="D135" s="14" t="s">
        <v>121</v>
      </c>
      <c r="F135" t="str">
        <f ca="1"/>
        <v>Govind Maroti Tate</v>
      </c>
    </row>
    <row r="136" spans="1:6" ht="15" customHeight="1" x14ac:dyDescent="0.25">
      <c r="A136" s="13" t="s">
        <v>390</v>
      </c>
      <c r="B136" s="12" t="s">
        <v>391</v>
      </c>
      <c r="C136" s="12" t="s">
        <v>24</v>
      </c>
      <c r="D136" s="14" t="s">
        <v>271</v>
      </c>
      <c r="F136" t="str">
        <f ca="1"/>
        <v>Saifan Dadalal Patel</v>
      </c>
    </row>
    <row r="137" spans="1:6" ht="15" customHeight="1" x14ac:dyDescent="0.25">
      <c r="A137" s="13" t="s">
        <v>392</v>
      </c>
      <c r="B137" s="12" t="s">
        <v>393</v>
      </c>
      <c r="C137" s="12" t="s">
        <v>17</v>
      </c>
      <c r="D137" s="14" t="s">
        <v>183</v>
      </c>
      <c r="F137" t="str">
        <f ca="1"/>
        <v>Bhagavan Vishnu Bhange</v>
      </c>
    </row>
    <row r="138" spans="1:6" ht="15" customHeight="1" x14ac:dyDescent="0.25">
      <c r="A138" s="13" t="s">
        <v>394</v>
      </c>
      <c r="B138" s="12" t="s">
        <v>395</v>
      </c>
      <c r="C138" s="12" t="s">
        <v>22</v>
      </c>
      <c r="D138" s="14" t="s">
        <v>307</v>
      </c>
      <c r="F138" t="str">
        <f ca="1"/>
        <v>Omkar Rachayya Swami</v>
      </c>
    </row>
    <row r="139" spans="1:6" ht="15" customHeight="1" x14ac:dyDescent="0.25">
      <c r="A139" s="13" t="s">
        <v>396</v>
      </c>
      <c r="B139" s="12" t="s">
        <v>397</v>
      </c>
      <c r="C139" s="12" t="s">
        <v>6</v>
      </c>
      <c r="D139" s="14" t="s">
        <v>111</v>
      </c>
      <c r="F139" t="str">
        <f ca="1"/>
        <v>Bhushan Ganesh Chaudhari</v>
      </c>
    </row>
    <row r="140" spans="1:6" ht="15" customHeight="1" x14ac:dyDescent="0.25">
      <c r="A140" s="13" t="s">
        <v>398</v>
      </c>
      <c r="B140" s="12" t="s">
        <v>399</v>
      </c>
      <c r="C140" s="12" t="s">
        <v>22</v>
      </c>
      <c r="D140" s="14" t="s">
        <v>100</v>
      </c>
      <c r="F140" t="str">
        <f ca="1"/>
        <v>Raju Natu Rathod</v>
      </c>
    </row>
    <row r="141" spans="1:6" ht="15" customHeight="1" x14ac:dyDescent="0.25">
      <c r="A141" s="13" t="s">
        <v>400</v>
      </c>
      <c r="B141" s="12" t="s">
        <v>401</v>
      </c>
      <c r="C141" s="12" t="s">
        <v>12</v>
      </c>
      <c r="D141" s="14" t="s">
        <v>100</v>
      </c>
      <c r="F141" t="str">
        <f ca="1"/>
        <v>Kishor Bhausaheb Hapase</v>
      </c>
    </row>
    <row r="142" spans="1:6" ht="15" customHeight="1" x14ac:dyDescent="0.25">
      <c r="A142" s="13" t="s">
        <v>402</v>
      </c>
      <c r="B142" s="12" t="s">
        <v>403</v>
      </c>
      <c r="C142" s="12" t="s">
        <v>6</v>
      </c>
      <c r="D142" s="14" t="s">
        <v>97</v>
      </c>
      <c r="F142" t="str">
        <f ca="1"/>
        <v>Sharad Balaji Gaikwad</v>
      </c>
    </row>
    <row r="143" spans="1:6" ht="15" customHeight="1" x14ac:dyDescent="0.25">
      <c r="A143" s="13" t="s">
        <v>404</v>
      </c>
      <c r="B143" s="12" t="s">
        <v>405</v>
      </c>
      <c r="C143" s="12" t="s">
        <v>27</v>
      </c>
      <c r="D143" s="14" t="s">
        <v>111</v>
      </c>
      <c r="F143" t="str">
        <f ca="1"/>
        <v>Shivraj Parmeshwar Dahitane</v>
      </c>
    </row>
    <row r="144" spans="1:6" ht="15" customHeight="1" x14ac:dyDescent="0.25">
      <c r="A144" s="13" t="s">
        <v>406</v>
      </c>
      <c r="B144" s="12" t="s">
        <v>407</v>
      </c>
      <c r="C144" s="12" t="s">
        <v>22</v>
      </c>
      <c r="D144" s="14" t="s">
        <v>129</v>
      </c>
      <c r="F144" t="str">
        <f ca="1"/>
        <v>Ajay Matadeen Kushwaha</v>
      </c>
    </row>
    <row r="145" spans="1:6" ht="15" customHeight="1" x14ac:dyDescent="0.25">
      <c r="A145" s="13" t="s">
        <v>408</v>
      </c>
      <c r="B145" s="12" t="s">
        <v>409</v>
      </c>
      <c r="C145" s="12" t="s">
        <v>6</v>
      </c>
      <c r="D145" s="14" t="s">
        <v>116</v>
      </c>
      <c r="F145" t="str">
        <f ca="1"/>
        <v>Sunil Bhivaji Bhosale</v>
      </c>
    </row>
    <row r="146" spans="1:6" ht="15" customHeight="1" x14ac:dyDescent="0.25">
      <c r="A146" s="13" t="s">
        <v>410</v>
      </c>
      <c r="B146" s="12" t="s">
        <v>411</v>
      </c>
      <c r="C146" s="12" t="s">
        <v>24</v>
      </c>
      <c r="D146" s="14" t="s">
        <v>250</v>
      </c>
      <c r="F146" t="str">
        <f ca="1"/>
        <v>Preetamkumar Sunil Abute</v>
      </c>
    </row>
    <row r="147" spans="1:6" ht="15" customHeight="1" x14ac:dyDescent="0.25">
      <c r="A147" s="13" t="s">
        <v>412</v>
      </c>
      <c r="B147" s="12" t="s">
        <v>413</v>
      </c>
      <c r="C147" s="12" t="s">
        <v>18</v>
      </c>
      <c r="D147" s="14" t="s">
        <v>271</v>
      </c>
      <c r="F147" t="str">
        <f ca="1"/>
        <v>Durgappa Hanamant Pawar</v>
      </c>
    </row>
    <row r="148" spans="1:6" ht="15" customHeight="1" x14ac:dyDescent="0.25">
      <c r="A148" s="13" t="s">
        <v>414</v>
      </c>
      <c r="B148" s="12" t="s">
        <v>415</v>
      </c>
      <c r="C148" s="12" t="s">
        <v>14</v>
      </c>
      <c r="D148" s="14" t="s">
        <v>100</v>
      </c>
      <c r="F148" t="str">
        <f ca="1"/>
        <v>Pruthviraj Gorakh Jadhav</v>
      </c>
    </row>
    <row r="149" spans="1:6" ht="15" customHeight="1" x14ac:dyDescent="0.25">
      <c r="A149" s="13" t="s">
        <v>416</v>
      </c>
      <c r="B149" s="12" t="s">
        <v>417</v>
      </c>
      <c r="C149" s="12" t="s">
        <v>6</v>
      </c>
      <c r="D149" s="14" t="s">
        <v>116</v>
      </c>
      <c r="F149" t="str">
        <f ca="1"/>
        <v>Dayanand Rajshekhar Majage</v>
      </c>
    </row>
    <row r="150" spans="1:6" ht="15" customHeight="1" x14ac:dyDescent="0.25">
      <c r="A150" s="13" t="s">
        <v>418</v>
      </c>
      <c r="B150" s="12" t="s">
        <v>419</v>
      </c>
      <c r="C150" s="12" t="s">
        <v>6</v>
      </c>
      <c r="D150" s="14" t="s">
        <v>268</v>
      </c>
      <c r="F150" t="str">
        <f ca="1"/>
        <v>Anil Arun Satav</v>
      </c>
    </row>
    <row r="151" spans="1:6" ht="15" customHeight="1" x14ac:dyDescent="0.25">
      <c r="A151" s="13" t="s">
        <v>420</v>
      </c>
      <c r="B151" s="12" t="s">
        <v>421</v>
      </c>
      <c r="C151" s="12" t="s">
        <v>6</v>
      </c>
      <c r="D151" s="14" t="s">
        <v>111</v>
      </c>
      <c r="F151" t="str">
        <f ca="1"/>
        <v>Nandan Madan Kodarkar</v>
      </c>
    </row>
    <row r="152" spans="1:6" ht="15" customHeight="1" x14ac:dyDescent="0.25">
      <c r="A152" s="13" t="s">
        <v>422</v>
      </c>
      <c r="B152" s="12" t="s">
        <v>423</v>
      </c>
      <c r="C152" s="12" t="s">
        <v>6</v>
      </c>
      <c r="D152" s="14" t="s">
        <v>424</v>
      </c>
      <c r="F152" t="str">
        <f ca="1"/>
        <v>Avinash Kundlik Deokar</v>
      </c>
    </row>
    <row r="153" spans="1:6" ht="15" customHeight="1" x14ac:dyDescent="0.25">
      <c r="A153" s="13" t="s">
        <v>425</v>
      </c>
      <c r="B153" s="12" t="s">
        <v>426</v>
      </c>
      <c r="C153" s="12" t="s">
        <v>6</v>
      </c>
      <c r="D153" s="14" t="s">
        <v>111</v>
      </c>
      <c r="F153" t="str">
        <f ca="1"/>
        <v>Pintu Dhanu Rathod</v>
      </c>
    </row>
    <row r="154" spans="1:6" ht="15" customHeight="1" x14ac:dyDescent="0.25">
      <c r="A154" s="13" t="s">
        <v>427</v>
      </c>
      <c r="B154" s="12" t="s">
        <v>428</v>
      </c>
      <c r="C154" s="12" t="s">
        <v>6</v>
      </c>
      <c r="D154" s="14" t="s">
        <v>116</v>
      </c>
      <c r="F154" t="str">
        <f ca="1"/>
        <v>Dhananjay Venkatesh Konda</v>
      </c>
    </row>
    <row r="155" spans="1:6" ht="15" customHeight="1" x14ac:dyDescent="0.25">
      <c r="A155" s="13" t="s">
        <v>429</v>
      </c>
      <c r="B155" s="12" t="s">
        <v>430</v>
      </c>
      <c r="C155" s="12" t="s">
        <v>6</v>
      </c>
      <c r="D155" s="14" t="s">
        <v>116</v>
      </c>
      <c r="F155" t="str">
        <f ca="1"/>
        <v>Ravi Babasaheb Chandanshive</v>
      </c>
    </row>
    <row r="156" spans="1:6" ht="15" customHeight="1" x14ac:dyDescent="0.25">
      <c r="A156" s="13" t="s">
        <v>431</v>
      </c>
      <c r="B156" s="12" t="s">
        <v>432</v>
      </c>
      <c r="C156" s="12" t="s">
        <v>24</v>
      </c>
      <c r="D156" s="14" t="s">
        <v>340</v>
      </c>
      <c r="F156" t="str">
        <f ca="1"/>
        <v>Sachin Ramchandra Bansode</v>
      </c>
    </row>
    <row r="157" spans="1:6" ht="15" customHeight="1" x14ac:dyDescent="0.25">
      <c r="A157" s="13" t="s">
        <v>433</v>
      </c>
      <c r="B157" s="12" t="s">
        <v>434</v>
      </c>
      <c r="C157" s="12" t="s">
        <v>24</v>
      </c>
      <c r="D157" s="14" t="s">
        <v>250</v>
      </c>
      <c r="F157" t="str">
        <f ca="1"/>
        <v>Shrivallabh Vilas Gosavi</v>
      </c>
    </row>
    <row r="158" spans="1:6" ht="15" customHeight="1" x14ac:dyDescent="0.25">
      <c r="A158" s="13" t="s">
        <v>435</v>
      </c>
      <c r="B158" s="12" t="s">
        <v>436</v>
      </c>
      <c r="C158" s="12" t="s">
        <v>29</v>
      </c>
      <c r="D158" s="14" t="s">
        <v>111</v>
      </c>
      <c r="F158" t="str">
        <f ca="1"/>
        <v>Pankaj Parmeshwar Bagal</v>
      </c>
    </row>
    <row r="159" spans="1:6" ht="15" customHeight="1" x14ac:dyDescent="0.25">
      <c r="A159" s="13" t="s">
        <v>437</v>
      </c>
      <c r="B159" s="12" t="s">
        <v>438</v>
      </c>
      <c r="C159" s="12" t="s">
        <v>28</v>
      </c>
      <c r="D159" s="14" t="s">
        <v>332</v>
      </c>
      <c r="F159" t="str">
        <f ca="1"/>
        <v>Rohit Shivaji Kamble</v>
      </c>
    </row>
    <row r="160" spans="1:6" ht="15" customHeight="1" x14ac:dyDescent="0.25">
      <c r="A160" s="13" t="s">
        <v>439</v>
      </c>
      <c r="B160" s="12" t="s">
        <v>440</v>
      </c>
      <c r="C160" s="12" t="s">
        <v>28</v>
      </c>
      <c r="D160" s="14" t="s">
        <v>332</v>
      </c>
      <c r="F160" t="str">
        <f ca="1"/>
        <v>Vishal Meninath Waybhase</v>
      </c>
    </row>
    <row r="161" spans="1:6" ht="15" customHeight="1" x14ac:dyDescent="0.25">
      <c r="A161" s="13" t="s">
        <v>441</v>
      </c>
      <c r="B161" s="12" t="s">
        <v>442</v>
      </c>
      <c r="C161" s="12" t="s">
        <v>6</v>
      </c>
      <c r="D161" s="14" t="s">
        <v>97</v>
      </c>
      <c r="F161" t="str">
        <f ca="1"/>
        <v>Shubham Bhagwan Sanap</v>
      </c>
    </row>
    <row r="162" spans="1:6" ht="15" customHeight="1" x14ac:dyDescent="0.25">
      <c r="A162" s="13" t="s">
        <v>443</v>
      </c>
      <c r="B162" s="12" t="s">
        <v>444</v>
      </c>
      <c r="C162" s="12" t="s">
        <v>6</v>
      </c>
      <c r="D162" s="14" t="s">
        <v>121</v>
      </c>
      <c r="F162" t="str">
        <f ca="1"/>
        <v>Sachin Siddharam Konade</v>
      </c>
    </row>
    <row r="163" spans="1:6" ht="15" customHeight="1" x14ac:dyDescent="0.25">
      <c r="A163" s="13" t="s">
        <v>445</v>
      </c>
      <c r="B163" s="12" t="s">
        <v>446</v>
      </c>
      <c r="C163" s="12" t="s">
        <v>6</v>
      </c>
      <c r="D163" s="14" t="s">
        <v>111</v>
      </c>
      <c r="F163" t="str">
        <f ca="1"/>
        <v>Nitesh Ishwar Mahadik</v>
      </c>
    </row>
    <row r="164" spans="1:6" ht="15" customHeight="1" x14ac:dyDescent="0.25">
      <c r="A164" s="13" t="s">
        <v>447</v>
      </c>
      <c r="B164" s="12" t="s">
        <v>448</v>
      </c>
      <c r="C164" s="12" t="s">
        <v>22</v>
      </c>
      <c r="D164" s="14" t="s">
        <v>111</v>
      </c>
      <c r="F164" t="str">
        <f ca="1"/>
        <v>Divyaratna Rupchand Dhanwade Mokashi</v>
      </c>
    </row>
    <row r="165" spans="1:6" ht="15" customHeight="1" x14ac:dyDescent="0.25">
      <c r="A165" s="13" t="s">
        <v>449</v>
      </c>
      <c r="B165" s="12" t="s">
        <v>450</v>
      </c>
      <c r="C165" s="12" t="s">
        <v>6</v>
      </c>
      <c r="D165" s="14" t="s">
        <v>424</v>
      </c>
      <c r="F165" t="str">
        <f ca="1"/>
        <v>Rajkumar Mallikarjun Wagdari</v>
      </c>
    </row>
    <row r="166" spans="1:6" ht="15" customHeight="1" x14ac:dyDescent="0.25">
      <c r="A166" s="13" t="s">
        <v>451</v>
      </c>
      <c r="B166" s="12" t="s">
        <v>452</v>
      </c>
      <c r="C166" s="12" t="s">
        <v>27</v>
      </c>
      <c r="D166" s="14" t="s">
        <v>108</v>
      </c>
      <c r="F166" t="str">
        <f ca="1"/>
        <v>Dnyaneshwar Prakash Chathe</v>
      </c>
    </row>
    <row r="167" spans="1:6" ht="15" customHeight="1" x14ac:dyDescent="0.25">
      <c r="A167" s="13" t="s">
        <v>453</v>
      </c>
      <c r="B167" s="12" t="s">
        <v>454</v>
      </c>
      <c r="C167" s="12" t="s">
        <v>14</v>
      </c>
      <c r="D167" s="14" t="s">
        <v>97</v>
      </c>
      <c r="F167" t="str">
        <f ca="1"/>
        <v>Ritesh Satyavijay Chimote</v>
      </c>
    </row>
    <row r="168" spans="1:6" ht="15" customHeight="1" x14ac:dyDescent="0.25">
      <c r="A168" s="13" t="s">
        <v>455</v>
      </c>
      <c r="B168" s="12" t="s">
        <v>456</v>
      </c>
      <c r="C168" s="12" t="s">
        <v>25</v>
      </c>
      <c r="D168" s="14" t="s">
        <v>111</v>
      </c>
      <c r="F168" t="str">
        <f ca="1"/>
        <v>Rahul Bhima Jadhav</v>
      </c>
    </row>
    <row r="169" spans="1:6" ht="15" customHeight="1" x14ac:dyDescent="0.25">
      <c r="A169" s="13" t="s">
        <v>457</v>
      </c>
      <c r="B169" s="12" t="s">
        <v>458</v>
      </c>
      <c r="C169" s="12" t="s">
        <v>18</v>
      </c>
      <c r="D169" s="14" t="s">
        <v>134</v>
      </c>
      <c r="F169" t="str">
        <f ca="1"/>
        <v>Tohid Akbar Mulani</v>
      </c>
    </row>
    <row r="170" spans="1:6" ht="15" customHeight="1" x14ac:dyDescent="0.25">
      <c r="A170" s="13" t="s">
        <v>459</v>
      </c>
      <c r="B170" s="12" t="s">
        <v>460</v>
      </c>
      <c r="C170" s="12" t="s">
        <v>18</v>
      </c>
      <c r="D170" s="14" t="s">
        <v>134</v>
      </c>
      <c r="F170" t="str">
        <f ca="1"/>
        <v>Parmeshwar Nagappa Barse</v>
      </c>
    </row>
    <row r="171" spans="1:6" ht="15" customHeight="1" x14ac:dyDescent="0.25">
      <c r="A171" s="13" t="s">
        <v>461</v>
      </c>
      <c r="B171" s="12" t="s">
        <v>462</v>
      </c>
      <c r="C171" s="12" t="s">
        <v>18</v>
      </c>
      <c r="D171" s="14" t="s">
        <v>134</v>
      </c>
      <c r="F171" t="str">
        <f ca="1"/>
        <v>Rushikesh Vinod Powar</v>
      </c>
    </row>
    <row r="172" spans="1:6" ht="15" customHeight="1" x14ac:dyDescent="0.25">
      <c r="A172" s="13" t="s">
        <v>463</v>
      </c>
      <c r="B172" s="12" t="s">
        <v>464</v>
      </c>
      <c r="C172" s="12" t="s">
        <v>18</v>
      </c>
      <c r="D172" s="14" t="s">
        <v>134</v>
      </c>
      <c r="F172" t="str">
        <f ca="1"/>
        <v>Vinayak Shivaji Dorage</v>
      </c>
    </row>
    <row r="173" spans="1:6" ht="15" customHeight="1" x14ac:dyDescent="0.25">
      <c r="A173" s="13" t="s">
        <v>465</v>
      </c>
      <c r="B173" s="12" t="s">
        <v>466</v>
      </c>
      <c r="C173" s="12" t="s">
        <v>28</v>
      </c>
      <c r="D173" s="14" t="s">
        <v>111</v>
      </c>
      <c r="F173" t="str">
        <f ca="1"/>
        <v>Dattatray Deepak Chavan</v>
      </c>
    </row>
    <row r="174" spans="1:6" ht="15" customHeight="1" x14ac:dyDescent="0.25">
      <c r="A174" s="13" t="s">
        <v>467</v>
      </c>
      <c r="B174" s="12" t="s">
        <v>468</v>
      </c>
      <c r="C174" s="12" t="s">
        <v>18</v>
      </c>
      <c r="D174" s="14" t="s">
        <v>307</v>
      </c>
      <c r="F174" t="str">
        <f ca="1"/>
        <v>Vinayak Shankar Bagalatti</v>
      </c>
    </row>
    <row r="175" spans="1:6" ht="15" customHeight="1" x14ac:dyDescent="0.25">
      <c r="A175" s="13" t="s">
        <v>469</v>
      </c>
      <c r="B175" s="12" t="s">
        <v>470</v>
      </c>
      <c r="C175" s="12" t="s">
        <v>23</v>
      </c>
      <c r="D175" s="14" t="s">
        <v>190</v>
      </c>
      <c r="F175" t="str">
        <f ca="1"/>
        <v>Avinash Hanmantu Naik</v>
      </c>
    </row>
    <row r="176" spans="1:6" ht="15" customHeight="1" x14ac:dyDescent="0.25">
      <c r="A176" s="13" t="s">
        <v>471</v>
      </c>
      <c r="B176" s="12" t="s">
        <v>472</v>
      </c>
      <c r="C176" s="12" t="s">
        <v>25</v>
      </c>
      <c r="D176" s="14" t="s">
        <v>81</v>
      </c>
      <c r="F176" t="str">
        <f ca="1"/>
        <v>Parmeshwar Mohan Kumbhar</v>
      </c>
    </row>
    <row r="177" spans="1:6" ht="15" customHeight="1" x14ac:dyDescent="0.25">
      <c r="A177" s="13" t="s">
        <v>473</v>
      </c>
      <c r="B177" s="12" t="s">
        <v>474</v>
      </c>
      <c r="C177" s="12" t="s">
        <v>17</v>
      </c>
      <c r="D177" s="14" t="s">
        <v>183</v>
      </c>
      <c r="F177" t="str">
        <f ca="1"/>
        <v>Sachin Shivasharan Chhure</v>
      </c>
    </row>
    <row r="178" spans="1:6" ht="15" customHeight="1" x14ac:dyDescent="0.25">
      <c r="A178" s="13" t="s">
        <v>475</v>
      </c>
      <c r="B178" s="12" t="s">
        <v>476</v>
      </c>
      <c r="C178" s="12" t="s">
        <v>28</v>
      </c>
      <c r="D178" s="14" t="s">
        <v>108</v>
      </c>
      <c r="F178" t="str">
        <f ca="1"/>
        <v>Jairaj Meghraj Bhogade</v>
      </c>
    </row>
    <row r="179" spans="1:6" ht="15" customHeight="1" x14ac:dyDescent="0.25">
      <c r="A179" s="13" t="s">
        <v>477</v>
      </c>
      <c r="B179" s="12" t="s">
        <v>478</v>
      </c>
      <c r="C179" s="12" t="s">
        <v>31</v>
      </c>
      <c r="D179" s="14" t="s">
        <v>121</v>
      </c>
      <c r="F179" t="str">
        <f ca="1"/>
        <v>Pandurang Satish Jadhav</v>
      </c>
    </row>
    <row r="180" spans="1:6" ht="15" customHeight="1" x14ac:dyDescent="0.25">
      <c r="A180" s="13" t="s">
        <v>479</v>
      </c>
      <c r="B180" s="12" t="s">
        <v>480</v>
      </c>
      <c r="C180" s="12" t="s">
        <v>6</v>
      </c>
      <c r="D180" s="14" t="s">
        <v>116</v>
      </c>
      <c r="F180" t="str">
        <f ca="1"/>
        <v>Vishal Tukaram Gadekar</v>
      </c>
    </row>
    <row r="181" spans="1:6" ht="15" customHeight="1" x14ac:dyDescent="0.25">
      <c r="A181" s="13" t="s">
        <v>481</v>
      </c>
      <c r="B181" s="12" t="s">
        <v>482</v>
      </c>
      <c r="C181" s="12" t="s">
        <v>6</v>
      </c>
      <c r="D181" s="14" t="s">
        <v>116</v>
      </c>
      <c r="F181" t="str">
        <f ca="1"/>
        <v>Shivaji Ananda Kadam</v>
      </c>
    </row>
    <row r="182" spans="1:6" ht="15" customHeight="1" x14ac:dyDescent="0.25">
      <c r="A182" s="13" t="s">
        <v>483</v>
      </c>
      <c r="B182" s="12" t="s">
        <v>484</v>
      </c>
      <c r="C182" s="12" t="s">
        <v>30</v>
      </c>
      <c r="D182" s="14" t="s">
        <v>190</v>
      </c>
      <c r="F182" t="str">
        <f ca="1"/>
        <v>Santosh Annarao Birajdar</v>
      </c>
    </row>
    <row r="183" spans="1:6" ht="15" customHeight="1" x14ac:dyDescent="0.25">
      <c r="A183" s="13" t="s">
        <v>485</v>
      </c>
      <c r="B183" s="12" t="s">
        <v>486</v>
      </c>
      <c r="C183" s="12" t="s">
        <v>6</v>
      </c>
      <c r="D183" s="14" t="s">
        <v>111</v>
      </c>
      <c r="F183" t="str">
        <f ca="1"/>
        <v>Satishkumar Sidramappa Devdurgkar</v>
      </c>
    </row>
    <row r="184" spans="1:6" ht="15" customHeight="1" x14ac:dyDescent="0.25">
      <c r="A184" s="13" t="s">
        <v>487</v>
      </c>
      <c r="B184" s="12" t="s">
        <v>488</v>
      </c>
      <c r="C184" s="12" t="s">
        <v>28</v>
      </c>
      <c r="D184" s="14" t="s">
        <v>121</v>
      </c>
      <c r="F184" t="str">
        <f ca="1"/>
        <v>Laxmikant Sharanbasappa Kapase</v>
      </c>
    </row>
    <row r="185" spans="1:6" ht="15" customHeight="1" x14ac:dyDescent="0.25">
      <c r="A185" s="13" t="s">
        <v>489</v>
      </c>
      <c r="B185" s="12" t="s">
        <v>490</v>
      </c>
      <c r="C185" s="12" t="s">
        <v>3</v>
      </c>
      <c r="D185" s="14" t="s">
        <v>257</v>
      </c>
      <c r="F185" t="str">
        <f ca="1"/>
        <v>Vitthal Bharat Gaikwad</v>
      </c>
    </row>
    <row r="186" spans="1:6" ht="15" customHeight="1" x14ac:dyDescent="0.25">
      <c r="A186" s="13" t="s">
        <v>491</v>
      </c>
      <c r="B186" s="12" t="s">
        <v>492</v>
      </c>
      <c r="C186" s="12" t="s">
        <v>3</v>
      </c>
      <c r="D186" s="14" t="s">
        <v>257</v>
      </c>
      <c r="F186" t="str">
        <f ca="1"/>
        <v>Ganesh Maruti More</v>
      </c>
    </row>
    <row r="187" spans="1:6" ht="15" customHeight="1" x14ac:dyDescent="0.25">
      <c r="A187" s="13" t="s">
        <v>493</v>
      </c>
      <c r="B187" s="12" t="s">
        <v>494</v>
      </c>
      <c r="C187" s="12" t="s">
        <v>3</v>
      </c>
      <c r="D187" s="14" t="s">
        <v>257</v>
      </c>
      <c r="F187" t="str">
        <f ca="1"/>
        <v>Shivsharan Shivanand Koli</v>
      </c>
    </row>
    <row r="188" spans="1:6" ht="15" customHeight="1" x14ac:dyDescent="0.25">
      <c r="A188" s="13" t="s">
        <v>495</v>
      </c>
      <c r="B188" s="12" t="s">
        <v>496</v>
      </c>
      <c r="C188" s="12" t="s">
        <v>3</v>
      </c>
      <c r="D188" s="14" t="s">
        <v>257</v>
      </c>
      <c r="F188" t="str">
        <f ca="1"/>
        <v>Hruthik Raju Nigade</v>
      </c>
    </row>
    <row r="189" spans="1:6" ht="15" customHeight="1" x14ac:dyDescent="0.25">
      <c r="A189" s="13" t="s">
        <v>497</v>
      </c>
      <c r="B189" s="12" t="s">
        <v>498</v>
      </c>
      <c r="C189" s="12" t="s">
        <v>3</v>
      </c>
      <c r="D189" s="14" t="s">
        <v>257</v>
      </c>
      <c r="F189" t="str">
        <f ca="1"/>
        <v>Arvind Dasu Doke</v>
      </c>
    </row>
    <row r="190" spans="1:6" ht="15" customHeight="1" x14ac:dyDescent="0.25">
      <c r="A190" s="13" t="s">
        <v>499</v>
      </c>
      <c r="B190" s="12" t="s">
        <v>500</v>
      </c>
      <c r="C190" s="12" t="s">
        <v>3</v>
      </c>
      <c r="D190" s="14" t="s">
        <v>257</v>
      </c>
      <c r="F190" t="str">
        <f ca="1"/>
        <v>Vishnu Dinkar Nanaware</v>
      </c>
    </row>
    <row r="191" spans="1:6" ht="15" customHeight="1" x14ac:dyDescent="0.25">
      <c r="A191" s="13" t="s">
        <v>501</v>
      </c>
      <c r="B191" s="12" t="s">
        <v>502</v>
      </c>
      <c r="C191" s="12" t="s">
        <v>3</v>
      </c>
      <c r="D191" s="14" t="s">
        <v>257</v>
      </c>
      <c r="F191" t="str">
        <f ca="1"/>
        <v>Sachin Tukaram Bodake</v>
      </c>
    </row>
    <row r="192" spans="1:6" ht="15" customHeight="1" x14ac:dyDescent="0.25">
      <c r="A192" s="13" t="s">
        <v>503</v>
      </c>
      <c r="B192" s="12" t="s">
        <v>504</v>
      </c>
      <c r="C192" s="12" t="s">
        <v>3</v>
      </c>
      <c r="D192" s="14" t="s">
        <v>257</v>
      </c>
      <c r="F192" t="str">
        <f ca="1"/>
        <v>Tushar Dipak Panshetti</v>
      </c>
    </row>
    <row r="193" spans="1:6" ht="15" customHeight="1" x14ac:dyDescent="0.25">
      <c r="A193" s="13" t="s">
        <v>505</v>
      </c>
      <c r="B193" s="12" t="s">
        <v>506</v>
      </c>
      <c r="C193" s="12" t="s">
        <v>28</v>
      </c>
      <c r="D193" s="14" t="s">
        <v>507</v>
      </c>
      <c r="F193" t="str">
        <f ca="1"/>
        <v>Mustak Javid Mujawar</v>
      </c>
    </row>
    <row r="194" spans="1:6" ht="15" customHeight="1" x14ac:dyDescent="0.25">
      <c r="A194" s="13" t="s">
        <v>508</v>
      </c>
      <c r="B194" s="12" t="s">
        <v>509</v>
      </c>
      <c r="C194" s="12" t="s">
        <v>18</v>
      </c>
      <c r="D194" s="14" t="s">
        <v>134</v>
      </c>
      <c r="F194" t="str">
        <f ca="1"/>
        <v>Sahil Tamjodin Kazi</v>
      </c>
    </row>
    <row r="195" spans="1:6" ht="15" customHeight="1" x14ac:dyDescent="0.25">
      <c r="A195" s="13" t="s">
        <v>510</v>
      </c>
      <c r="B195" s="12" t="s">
        <v>511</v>
      </c>
      <c r="C195" s="12" t="s">
        <v>18</v>
      </c>
      <c r="D195" s="14" t="s">
        <v>134</v>
      </c>
      <c r="F195" t="str">
        <f ca="1"/>
        <v>Akshay Ambadas Baddal</v>
      </c>
    </row>
    <row r="196" spans="1:6" ht="15" customHeight="1" x14ac:dyDescent="0.25">
      <c r="A196" s="13" t="s">
        <v>512</v>
      </c>
      <c r="B196" s="12" t="s">
        <v>513</v>
      </c>
      <c r="C196" s="12" t="s">
        <v>18</v>
      </c>
      <c r="D196" s="14" t="s">
        <v>111</v>
      </c>
      <c r="F196" t="str">
        <f ca="1"/>
        <v>Kannan Ramanathan</v>
      </c>
    </row>
    <row r="197" spans="1:6" ht="15" customHeight="1" x14ac:dyDescent="0.25">
      <c r="A197" s="13" t="s">
        <v>514</v>
      </c>
      <c r="B197" s="12" t="s">
        <v>515</v>
      </c>
      <c r="C197" s="12" t="s">
        <v>33</v>
      </c>
      <c r="D197" s="14" t="s">
        <v>516</v>
      </c>
      <c r="F197" t="str">
        <f ca="1"/>
        <v>Nilesh Ankush Avhad</v>
      </c>
    </row>
    <row r="198" spans="1:6" ht="15" customHeight="1" x14ac:dyDescent="0.25">
      <c r="A198" s="13" t="s">
        <v>517</v>
      </c>
      <c r="B198" s="12" t="s">
        <v>518</v>
      </c>
      <c r="C198" s="12" t="s">
        <v>18</v>
      </c>
      <c r="D198" s="14" t="s">
        <v>134</v>
      </c>
      <c r="F198" t="str">
        <f ca="1"/>
        <v>Akash Abhimanu Kadam</v>
      </c>
    </row>
    <row r="199" spans="1:6" ht="15" customHeight="1" x14ac:dyDescent="0.25">
      <c r="A199" s="13" t="s">
        <v>519</v>
      </c>
      <c r="B199" s="12" t="s">
        <v>520</v>
      </c>
      <c r="C199" s="12" t="s">
        <v>6</v>
      </c>
      <c r="D199" s="14" t="s">
        <v>116</v>
      </c>
      <c r="F199" t="str">
        <f ca="1"/>
        <v>Keshav Sunil Wadne</v>
      </c>
    </row>
    <row r="200" spans="1:6" ht="15" customHeight="1" x14ac:dyDescent="0.25">
      <c r="A200" s="13" t="s">
        <v>521</v>
      </c>
      <c r="B200" s="12" t="s">
        <v>522</v>
      </c>
      <c r="C200" s="12" t="s">
        <v>6</v>
      </c>
      <c r="D200" s="14" t="s">
        <v>116</v>
      </c>
      <c r="F200" t="str">
        <f ca="1"/>
        <v>Sudhakar Shivanand Bamchande</v>
      </c>
    </row>
    <row r="201" spans="1:6" ht="15" customHeight="1" x14ac:dyDescent="0.25">
      <c r="A201" s="13" t="s">
        <v>523</v>
      </c>
      <c r="B201" s="12" t="s">
        <v>524</v>
      </c>
      <c r="C201" s="12" t="s">
        <v>18</v>
      </c>
      <c r="D201" s="14" t="s">
        <v>81</v>
      </c>
      <c r="F201" t="str">
        <f ca="1"/>
        <v>Kishor Mahadev Patil</v>
      </c>
    </row>
    <row r="202" spans="1:6" ht="15" customHeight="1" x14ac:dyDescent="0.25">
      <c r="A202" s="13" t="s">
        <v>525</v>
      </c>
      <c r="B202" s="12" t="s">
        <v>526</v>
      </c>
      <c r="C202" s="12" t="s">
        <v>18</v>
      </c>
      <c r="D202" s="14" t="s">
        <v>134</v>
      </c>
      <c r="F202" t="str">
        <f ca="1"/>
        <v>Irfan Pappu Shaikh</v>
      </c>
    </row>
    <row r="203" spans="1:6" ht="15" customHeight="1" x14ac:dyDescent="0.25">
      <c r="A203" s="13" t="s">
        <v>527</v>
      </c>
      <c r="B203" s="12" t="s">
        <v>528</v>
      </c>
      <c r="C203" s="12" t="s">
        <v>6</v>
      </c>
      <c r="D203" s="14" t="s">
        <v>116</v>
      </c>
      <c r="F203" t="str">
        <f ca="1"/>
        <v>Rahul Bhagwat Dhakane</v>
      </c>
    </row>
    <row r="204" spans="1:6" ht="15" customHeight="1" x14ac:dyDescent="0.25">
      <c r="A204" s="13" t="s">
        <v>529</v>
      </c>
      <c r="B204" s="12" t="s">
        <v>530</v>
      </c>
      <c r="C204" s="12" t="s">
        <v>6</v>
      </c>
      <c r="D204" s="14" t="s">
        <v>116</v>
      </c>
      <c r="F204" t="str">
        <f ca="1"/>
        <v>Pramod Mahadev Gavhane</v>
      </c>
    </row>
    <row r="205" spans="1:6" ht="15" customHeight="1" x14ac:dyDescent="0.25">
      <c r="A205" s="13" t="s">
        <v>531</v>
      </c>
      <c r="B205" s="12" t="s">
        <v>532</v>
      </c>
      <c r="C205" s="12" t="s">
        <v>6</v>
      </c>
      <c r="D205" s="14" t="s">
        <v>116</v>
      </c>
      <c r="F205" t="str">
        <f ca="1"/>
        <v>Dipak Santosh Jagtap</v>
      </c>
    </row>
    <row r="206" spans="1:6" ht="15" customHeight="1" x14ac:dyDescent="0.25">
      <c r="A206" s="13" t="s">
        <v>533</v>
      </c>
      <c r="B206" s="12" t="s">
        <v>534</v>
      </c>
      <c r="C206" s="12" t="s">
        <v>6</v>
      </c>
      <c r="D206" s="14" t="s">
        <v>116</v>
      </c>
      <c r="F206" t="str">
        <f ca="1"/>
        <v>Samir Hamid Mulani</v>
      </c>
    </row>
    <row r="207" spans="1:6" ht="15" customHeight="1" x14ac:dyDescent="0.25">
      <c r="A207" s="13" t="s">
        <v>535</v>
      </c>
      <c r="B207" s="12" t="s">
        <v>536</v>
      </c>
      <c r="C207" s="12" t="s">
        <v>6</v>
      </c>
      <c r="D207" s="14" t="s">
        <v>116</v>
      </c>
      <c r="F207" t="str">
        <f ca="1"/>
        <v>Prem Parshuram Hole</v>
      </c>
    </row>
    <row r="208" spans="1:6" ht="15" customHeight="1" x14ac:dyDescent="0.25">
      <c r="A208" s="13" t="s">
        <v>537</v>
      </c>
      <c r="B208" s="12" t="s">
        <v>538</v>
      </c>
      <c r="C208" s="12" t="s">
        <v>6</v>
      </c>
      <c r="D208" s="14" t="s">
        <v>116</v>
      </c>
      <c r="F208" t="str">
        <f ca="1"/>
        <v>Kaushal Bhagwat Gadekar</v>
      </c>
    </row>
    <row r="209" spans="1:6" ht="15" customHeight="1" x14ac:dyDescent="0.25">
      <c r="A209" s="13" t="s">
        <v>539</v>
      </c>
      <c r="B209" s="12" t="s">
        <v>540</v>
      </c>
      <c r="C209" s="12" t="s">
        <v>6</v>
      </c>
      <c r="D209" s="14" t="s">
        <v>116</v>
      </c>
      <c r="F209" t="str">
        <f ca="1"/>
        <v>Umesh Ramchandra Waichal</v>
      </c>
    </row>
    <row r="210" spans="1:6" ht="15" customHeight="1" x14ac:dyDescent="0.25">
      <c r="A210" s="13" t="s">
        <v>541</v>
      </c>
      <c r="B210" s="12" t="s">
        <v>542</v>
      </c>
      <c r="C210" s="12" t="s">
        <v>25</v>
      </c>
      <c r="D210" s="14" t="s">
        <v>97</v>
      </c>
      <c r="F210" t="str">
        <f ca="1"/>
        <v>Samir Nabilal Shaikh</v>
      </c>
    </row>
    <row r="211" spans="1:6" ht="15" customHeight="1" x14ac:dyDescent="0.25">
      <c r="A211" s="13" t="s">
        <v>543</v>
      </c>
      <c r="B211" s="12" t="s">
        <v>544</v>
      </c>
      <c r="C211" s="12" t="s">
        <v>6</v>
      </c>
      <c r="D211" s="14" t="s">
        <v>116</v>
      </c>
      <c r="F211" t="str">
        <f ca="1"/>
        <v>Vishal Ganpat Koli</v>
      </c>
    </row>
    <row r="212" spans="1:6" ht="15" customHeight="1" x14ac:dyDescent="0.25">
      <c r="A212" s="13" t="s">
        <v>545</v>
      </c>
      <c r="B212" s="12" t="s">
        <v>546</v>
      </c>
      <c r="C212" s="12" t="s">
        <v>18</v>
      </c>
      <c r="D212" s="14" t="s">
        <v>134</v>
      </c>
      <c r="F212" t="str">
        <f ca="1"/>
        <v>Ramhari Sudam Nawale</v>
      </c>
    </row>
    <row r="213" spans="1:6" ht="15" customHeight="1" x14ac:dyDescent="0.25">
      <c r="A213" s="13" t="s">
        <v>547</v>
      </c>
      <c r="B213" s="12" t="s">
        <v>548</v>
      </c>
      <c r="C213" s="12" t="s">
        <v>6</v>
      </c>
      <c r="D213" s="14" t="s">
        <v>116</v>
      </c>
      <c r="F213" t="str">
        <f ca="1"/>
        <v>Sagar Govardhan Thorat</v>
      </c>
    </row>
    <row r="214" spans="1:6" ht="15" customHeight="1" x14ac:dyDescent="0.25">
      <c r="A214" s="13" t="s">
        <v>549</v>
      </c>
      <c r="B214" s="12" t="s">
        <v>550</v>
      </c>
      <c r="C214" s="12" t="s">
        <v>23</v>
      </c>
      <c r="D214" s="14" t="s">
        <v>205</v>
      </c>
      <c r="F214" t="str">
        <f ca="1"/>
        <v>Vishvajit Shivdas Nalawade</v>
      </c>
    </row>
    <row r="215" spans="1:6" ht="15" customHeight="1" x14ac:dyDescent="0.25">
      <c r="A215" s="13" t="s">
        <v>551</v>
      </c>
      <c r="B215" s="12" t="s">
        <v>552</v>
      </c>
      <c r="C215" s="12" t="s">
        <v>25</v>
      </c>
      <c r="D215" s="14" t="s">
        <v>124</v>
      </c>
      <c r="F215" t="str">
        <f ca="1"/>
        <v>Piyush Dhanrajji Kapse</v>
      </c>
    </row>
    <row r="216" spans="1:6" ht="15" customHeight="1" x14ac:dyDescent="0.25">
      <c r="A216" s="13" t="s">
        <v>553</v>
      </c>
      <c r="B216" s="12" t="s">
        <v>554</v>
      </c>
      <c r="C216" s="12" t="s">
        <v>6</v>
      </c>
      <c r="D216" s="14" t="s">
        <v>156</v>
      </c>
      <c r="F216" t="str">
        <f ca="1"/>
        <v>Kailas Eknath Adhav</v>
      </c>
    </row>
    <row r="217" spans="1:6" ht="15" customHeight="1" x14ac:dyDescent="0.25">
      <c r="A217" s="13" t="s">
        <v>555</v>
      </c>
      <c r="B217" s="12" t="s">
        <v>556</v>
      </c>
      <c r="C217" s="12" t="s">
        <v>6</v>
      </c>
      <c r="D217" s="14" t="s">
        <v>116</v>
      </c>
      <c r="F217" t="str">
        <f ca="1"/>
        <v>Laxman Hanuman Kardile</v>
      </c>
    </row>
    <row r="218" spans="1:6" ht="15" customHeight="1" x14ac:dyDescent="0.25">
      <c r="A218" s="13" t="s">
        <v>557</v>
      </c>
      <c r="B218" s="12" t="s">
        <v>558</v>
      </c>
      <c r="C218" s="12" t="s">
        <v>6</v>
      </c>
      <c r="D218" s="14" t="s">
        <v>116</v>
      </c>
      <c r="F218" t="str">
        <f ca="1"/>
        <v>Mahesh Kisan Gadakh</v>
      </c>
    </row>
    <row r="219" spans="1:6" ht="15" customHeight="1" x14ac:dyDescent="0.25">
      <c r="A219" s="13" t="s">
        <v>559</v>
      </c>
      <c r="B219" s="12" t="s">
        <v>560</v>
      </c>
      <c r="C219" s="12" t="s">
        <v>6</v>
      </c>
      <c r="D219" s="14" t="s">
        <v>116</v>
      </c>
      <c r="F219" t="str">
        <f ca="1"/>
        <v>Laxman Rajendra Raut</v>
      </c>
    </row>
    <row r="220" spans="1:6" ht="15" customHeight="1" x14ac:dyDescent="0.25">
      <c r="A220" s="13" t="s">
        <v>561</v>
      </c>
      <c r="B220" s="12" t="s">
        <v>562</v>
      </c>
      <c r="C220" s="12" t="s">
        <v>6</v>
      </c>
      <c r="D220" s="14" t="s">
        <v>116</v>
      </c>
      <c r="F220" t="str">
        <f ca="1"/>
        <v>Nagnath Ankush Shinde</v>
      </c>
    </row>
    <row r="221" spans="1:6" ht="15" customHeight="1" x14ac:dyDescent="0.25">
      <c r="A221" s="13" t="s">
        <v>563</v>
      </c>
      <c r="B221" s="12" t="s">
        <v>564</v>
      </c>
      <c r="C221" s="12" t="s">
        <v>28</v>
      </c>
      <c r="D221" s="14" t="s">
        <v>111</v>
      </c>
      <c r="F221" t="str">
        <f ca="1"/>
        <v>Shaktiprasad Nagnath Jagtap</v>
      </c>
    </row>
    <row r="222" spans="1:6" ht="15" customHeight="1" x14ac:dyDescent="0.25">
      <c r="A222" s="13" t="s">
        <v>565</v>
      </c>
      <c r="B222" s="12" t="s">
        <v>566</v>
      </c>
      <c r="C222" s="12" t="s">
        <v>31</v>
      </c>
      <c r="D222" s="14" t="s">
        <v>100</v>
      </c>
      <c r="F222" t="str">
        <f ca="1"/>
        <v>Nageshwar Dashrath Pawar</v>
      </c>
    </row>
    <row r="223" spans="1:6" ht="15" customHeight="1" x14ac:dyDescent="0.25">
      <c r="A223" s="13" t="s">
        <v>567</v>
      </c>
      <c r="B223" s="12" t="s">
        <v>568</v>
      </c>
      <c r="C223" s="12" t="s">
        <v>17</v>
      </c>
      <c r="D223" s="14" t="s">
        <v>100</v>
      </c>
      <c r="F223" t="str">
        <f ca="1"/>
        <v>Ashutosh Dattatray Chaugule</v>
      </c>
    </row>
    <row r="224" spans="1:6" ht="15" customHeight="1" x14ac:dyDescent="0.25">
      <c r="A224" s="13" t="s">
        <v>569</v>
      </c>
      <c r="B224" s="12" t="s">
        <v>570</v>
      </c>
      <c r="C224" s="12" t="s">
        <v>6</v>
      </c>
      <c r="D224" s="14" t="s">
        <v>116</v>
      </c>
      <c r="F224" t="str">
        <f ca="1"/>
        <v>Vikas Sudhir Masalkar</v>
      </c>
    </row>
    <row r="225" spans="1:6" ht="15" customHeight="1" x14ac:dyDescent="0.25">
      <c r="A225" s="13" t="s">
        <v>571</v>
      </c>
      <c r="B225" s="12" t="s">
        <v>572</v>
      </c>
      <c r="C225" s="12" t="s">
        <v>23</v>
      </c>
      <c r="D225" s="14" t="s">
        <v>205</v>
      </c>
      <c r="F225" t="str">
        <f ca="1"/>
        <v>Vikas Baburao Kursule</v>
      </c>
    </row>
    <row r="226" spans="1:6" ht="15" customHeight="1" x14ac:dyDescent="0.25">
      <c r="A226" s="13" t="s">
        <v>573</v>
      </c>
      <c r="B226" s="12" t="s">
        <v>574</v>
      </c>
      <c r="C226" s="12" t="s">
        <v>6</v>
      </c>
      <c r="D226" s="14" t="s">
        <v>371</v>
      </c>
      <c r="F226" t="str">
        <f ca="1"/>
        <v>Ganesh Balasaheb Pol</v>
      </c>
    </row>
    <row r="227" spans="1:6" ht="15" customHeight="1" x14ac:dyDescent="0.25">
      <c r="A227" s="13" t="s">
        <v>575</v>
      </c>
      <c r="B227" s="12" t="s">
        <v>576</v>
      </c>
      <c r="C227" s="12" t="s">
        <v>6</v>
      </c>
      <c r="D227" s="14" t="s">
        <v>116</v>
      </c>
      <c r="F227" t="str">
        <f ca="1"/>
        <v>Shivanand Shashikant Warang</v>
      </c>
    </row>
    <row r="228" spans="1:6" ht="15" customHeight="1" x14ac:dyDescent="0.25">
      <c r="A228" s="13" t="s">
        <v>577</v>
      </c>
      <c r="B228" s="12" t="s">
        <v>578</v>
      </c>
      <c r="C228" s="12" t="s">
        <v>6</v>
      </c>
      <c r="D228" s="14" t="s">
        <v>371</v>
      </c>
      <c r="F228" t="str">
        <f ca="1"/>
        <v>Vinayak Kumar Pawar</v>
      </c>
    </row>
    <row r="229" spans="1:6" ht="15" customHeight="1" x14ac:dyDescent="0.25">
      <c r="A229" s="13" t="s">
        <v>579</v>
      </c>
      <c r="B229" s="12" t="s">
        <v>580</v>
      </c>
      <c r="C229" s="12" t="s">
        <v>10</v>
      </c>
      <c r="D229" s="14" t="s">
        <v>581</v>
      </c>
      <c r="F229" t="str">
        <f ca="1"/>
        <v>Akshay Sambhaji Thakur</v>
      </c>
    </row>
    <row r="230" spans="1:6" ht="15" customHeight="1" x14ac:dyDescent="0.25">
      <c r="A230" s="13" t="s">
        <v>582</v>
      </c>
      <c r="B230" s="12" t="s">
        <v>583</v>
      </c>
      <c r="C230" s="12" t="s">
        <v>10</v>
      </c>
      <c r="D230" s="14" t="s">
        <v>100</v>
      </c>
      <c r="F230" t="str">
        <f ca="1"/>
        <v>Arjun Chediram Rajbhar</v>
      </c>
    </row>
    <row r="231" spans="1:6" ht="15" customHeight="1" x14ac:dyDescent="0.25">
      <c r="A231" s="13" t="s">
        <v>584</v>
      </c>
      <c r="B231" s="12" t="s">
        <v>585</v>
      </c>
      <c r="C231" s="12" t="s">
        <v>6</v>
      </c>
      <c r="D231" s="14" t="s">
        <v>424</v>
      </c>
      <c r="F231" t="str">
        <f ca="1"/>
        <v>Shital Nagnath Sindagi</v>
      </c>
    </row>
    <row r="232" spans="1:6" ht="15" customHeight="1" x14ac:dyDescent="0.25">
      <c r="A232" s="13" t="s">
        <v>586</v>
      </c>
      <c r="B232" s="12" t="s">
        <v>587</v>
      </c>
      <c r="C232" s="12" t="s">
        <v>33</v>
      </c>
      <c r="D232" s="14" t="s">
        <v>588</v>
      </c>
      <c r="F232" t="str">
        <f ca="1"/>
        <v>Shivam Pardeep Gawali</v>
      </c>
    </row>
    <row r="233" spans="1:6" ht="15" customHeight="1" x14ac:dyDescent="0.25">
      <c r="A233" s="13" t="s">
        <v>589</v>
      </c>
      <c r="B233" s="12" t="s">
        <v>590</v>
      </c>
      <c r="C233" s="12" t="s">
        <v>6</v>
      </c>
      <c r="D233" s="14" t="s">
        <v>116</v>
      </c>
      <c r="F233" t="str">
        <f ca="1"/>
        <v>Dipesh Daji Gaikwad</v>
      </c>
    </row>
    <row r="234" spans="1:6" ht="15" customHeight="1" x14ac:dyDescent="0.25">
      <c r="A234" s="13" t="s">
        <v>591</v>
      </c>
      <c r="B234" s="12" t="s">
        <v>592</v>
      </c>
      <c r="C234" s="12" t="s">
        <v>28</v>
      </c>
      <c r="D234" s="14" t="s">
        <v>507</v>
      </c>
      <c r="F234" t="str">
        <f ca="1"/>
        <v>Tulashiram Shivaji Mote</v>
      </c>
    </row>
    <row r="235" spans="1:6" ht="15" customHeight="1" x14ac:dyDescent="0.25">
      <c r="A235" s="13" t="s">
        <v>593</v>
      </c>
      <c r="B235" s="12" t="s">
        <v>594</v>
      </c>
      <c r="C235" s="12" t="s">
        <v>6</v>
      </c>
      <c r="D235" s="14" t="s">
        <v>116</v>
      </c>
      <c r="F235" t="str">
        <f ca="1"/>
        <v>Nagesh Sharanappa Gangade</v>
      </c>
    </row>
    <row r="236" spans="1:6" ht="15" customHeight="1" x14ac:dyDescent="0.25">
      <c r="A236" s="13" t="s">
        <v>595</v>
      </c>
      <c r="B236" s="12" t="s">
        <v>596</v>
      </c>
      <c r="C236" s="12" t="s">
        <v>28</v>
      </c>
      <c r="D236" s="14" t="s">
        <v>111</v>
      </c>
      <c r="F236" t="str">
        <f ca="1"/>
        <v>Amol Balu Darekar</v>
      </c>
    </row>
    <row r="237" spans="1:6" ht="15" customHeight="1" x14ac:dyDescent="0.25">
      <c r="A237" s="13" t="s">
        <v>597</v>
      </c>
      <c r="B237" s="12" t="s">
        <v>598</v>
      </c>
      <c r="C237" s="12" t="s">
        <v>6</v>
      </c>
      <c r="D237" s="14" t="s">
        <v>116</v>
      </c>
      <c r="F237" t="str">
        <f ca="1"/>
        <v>Santosh Vitthal Barkule</v>
      </c>
    </row>
    <row r="238" spans="1:6" ht="15" customHeight="1" x14ac:dyDescent="0.25">
      <c r="A238" s="13" t="s">
        <v>599</v>
      </c>
      <c r="B238" s="12" t="s">
        <v>600</v>
      </c>
      <c r="C238" s="12" t="s">
        <v>6</v>
      </c>
      <c r="D238" s="14" t="s">
        <v>116</v>
      </c>
      <c r="F238" t="str">
        <f ca="1"/>
        <v>Aditya Chandrakant Wandhekar</v>
      </c>
    </row>
    <row r="239" spans="1:6" ht="15" customHeight="1" x14ac:dyDescent="0.25">
      <c r="A239" s="13" t="s">
        <v>601</v>
      </c>
      <c r="B239" s="12" t="s">
        <v>602</v>
      </c>
      <c r="C239" s="12" t="s">
        <v>6</v>
      </c>
      <c r="D239" s="14" t="s">
        <v>116</v>
      </c>
      <c r="F239" t="str">
        <f ca="1"/>
        <v>Shreekant Sambhaji Sawant</v>
      </c>
    </row>
    <row r="240" spans="1:6" ht="15" customHeight="1" x14ac:dyDescent="0.25">
      <c r="A240" s="13" t="s">
        <v>603</v>
      </c>
      <c r="B240" s="12" t="s">
        <v>604</v>
      </c>
      <c r="C240" s="12" t="s">
        <v>6</v>
      </c>
      <c r="D240" s="14" t="s">
        <v>116</v>
      </c>
      <c r="F240" t="str">
        <f ca="1"/>
        <v>Sharad Hambirao Chaudhari</v>
      </c>
    </row>
    <row r="241" spans="1:6" ht="15" customHeight="1" x14ac:dyDescent="0.25">
      <c r="A241" s="13" t="s">
        <v>605</v>
      </c>
      <c r="B241" s="12" t="s">
        <v>606</v>
      </c>
      <c r="C241" s="12" t="s">
        <v>6</v>
      </c>
      <c r="D241" s="14" t="s">
        <v>116</v>
      </c>
      <c r="F241" t="str">
        <f ca="1"/>
        <v>Vaibhav Subhash Gandhi</v>
      </c>
    </row>
    <row r="242" spans="1:6" ht="15" customHeight="1" x14ac:dyDescent="0.25">
      <c r="A242" s="13" t="s">
        <v>607</v>
      </c>
      <c r="B242" s="12" t="s">
        <v>608</v>
      </c>
      <c r="C242" s="12" t="s">
        <v>6</v>
      </c>
      <c r="D242" s="14" t="s">
        <v>116</v>
      </c>
      <c r="F242" t="str">
        <f ca="1"/>
        <v>Nilesh Pandharinath Kasabe</v>
      </c>
    </row>
    <row r="243" spans="1:6" ht="15" customHeight="1" x14ac:dyDescent="0.25">
      <c r="A243" s="13" t="s">
        <v>609</v>
      </c>
      <c r="B243" s="12" t="s">
        <v>610</v>
      </c>
      <c r="C243" s="12" t="s">
        <v>6</v>
      </c>
      <c r="D243" s="14" t="s">
        <v>116</v>
      </c>
      <c r="F243" t="str">
        <f ca="1"/>
        <v>Pravin Shankar Gund</v>
      </c>
    </row>
    <row r="244" spans="1:6" ht="15" customHeight="1" x14ac:dyDescent="0.25">
      <c r="A244" s="13" t="s">
        <v>611</v>
      </c>
      <c r="B244" s="12" t="s">
        <v>612</v>
      </c>
      <c r="C244" s="12" t="s">
        <v>6</v>
      </c>
      <c r="D244" s="14" t="s">
        <v>116</v>
      </c>
      <c r="F244" t="str">
        <f ca="1"/>
        <v>Mahesh Laxman Wandhekar</v>
      </c>
    </row>
    <row r="245" spans="1:6" ht="15" customHeight="1" x14ac:dyDescent="0.25">
      <c r="A245" s="13" t="s">
        <v>613</v>
      </c>
      <c r="B245" s="12" t="s">
        <v>614</v>
      </c>
      <c r="C245" s="12" t="s">
        <v>6</v>
      </c>
      <c r="D245" s="14" t="s">
        <v>116</v>
      </c>
      <c r="F245" t="str">
        <f ca="1"/>
        <v>Vaibhav Vitthal Jagtap</v>
      </c>
    </row>
    <row r="246" spans="1:6" ht="15" customHeight="1" x14ac:dyDescent="0.25">
      <c r="A246" s="13" t="s">
        <v>615</v>
      </c>
      <c r="B246" s="12" t="s">
        <v>616</v>
      </c>
      <c r="C246" s="12" t="s">
        <v>6</v>
      </c>
      <c r="D246" s="14" t="s">
        <v>116</v>
      </c>
      <c r="F246" t="str">
        <f ca="1"/>
        <v>Shahrukh Siraj Sayyad</v>
      </c>
    </row>
    <row r="247" spans="1:6" ht="15" customHeight="1" x14ac:dyDescent="0.25">
      <c r="A247" s="13" t="s">
        <v>617</v>
      </c>
      <c r="B247" s="12" t="s">
        <v>618</v>
      </c>
      <c r="C247" s="12" t="s">
        <v>6</v>
      </c>
      <c r="D247" s="14" t="s">
        <v>116</v>
      </c>
      <c r="F247" t="str">
        <f ca="1"/>
        <v>Suresh Tara Chand Gupta</v>
      </c>
    </row>
    <row r="248" spans="1:6" ht="15" customHeight="1" x14ac:dyDescent="0.25">
      <c r="A248" s="13" t="s">
        <v>619</v>
      </c>
      <c r="B248" s="12" t="s">
        <v>620</v>
      </c>
      <c r="C248" s="12" t="s">
        <v>6</v>
      </c>
      <c r="D248" s="14" t="s">
        <v>116</v>
      </c>
      <c r="F248" t="str">
        <f ca="1"/>
        <v>Sahil Pramod Ujgare</v>
      </c>
    </row>
    <row r="249" spans="1:6" ht="15" customHeight="1" x14ac:dyDescent="0.25">
      <c r="A249" s="13" t="s">
        <v>621</v>
      </c>
      <c r="B249" s="12" t="s">
        <v>622</v>
      </c>
      <c r="C249" s="12" t="s">
        <v>23</v>
      </c>
      <c r="D249" s="14" t="s">
        <v>205</v>
      </c>
      <c r="F249" t="str">
        <f ca="1"/>
        <v>Krishna Jagan Kapure</v>
      </c>
    </row>
    <row r="250" spans="1:6" ht="15" customHeight="1" x14ac:dyDescent="0.25">
      <c r="A250" s="13" t="s">
        <v>623</v>
      </c>
      <c r="B250" s="12" t="s">
        <v>624</v>
      </c>
      <c r="C250" s="12" t="s">
        <v>18</v>
      </c>
      <c r="D250" s="14" t="s">
        <v>134</v>
      </c>
      <c r="F250" t="str">
        <f ca="1"/>
        <v>Prashant Dattatray Polkat</v>
      </c>
    </row>
    <row r="251" spans="1:6" ht="15" customHeight="1" x14ac:dyDescent="0.25">
      <c r="A251" s="13" t="s">
        <v>625</v>
      </c>
      <c r="B251" s="12" t="s">
        <v>626</v>
      </c>
      <c r="C251" s="12" t="s">
        <v>6</v>
      </c>
      <c r="D251" s="14" t="s">
        <v>116</v>
      </c>
      <c r="F251" t="str">
        <f ca="1"/>
        <v>Tushar Ramdas Mote</v>
      </c>
    </row>
    <row r="252" spans="1:6" ht="15" customHeight="1" x14ac:dyDescent="0.25">
      <c r="A252" s="13" t="s">
        <v>627</v>
      </c>
      <c r="B252" s="12" t="s">
        <v>628</v>
      </c>
      <c r="C252" s="12" t="s">
        <v>6</v>
      </c>
      <c r="D252" s="14" t="s">
        <v>424</v>
      </c>
      <c r="F252" t="str">
        <f ca="1"/>
        <v>Mayur Madhukar Shinde</v>
      </c>
    </row>
    <row r="253" spans="1:6" ht="15" customHeight="1" x14ac:dyDescent="0.25">
      <c r="A253" s="13" t="s">
        <v>652</v>
      </c>
      <c r="B253" s="12" t="s">
        <v>653</v>
      </c>
      <c r="C253" s="12" t="s">
        <v>31</v>
      </c>
      <c r="D253" s="14" t="s">
        <v>100</v>
      </c>
      <c r="F253" t="str">
        <f ca="1"/>
        <v>Shivam Subhash Pangarekar</v>
      </c>
    </row>
    <row r="254" spans="1:6" ht="15" customHeight="1" x14ac:dyDescent="0.25">
      <c r="A254" s="18" t="s">
        <v>654</v>
      </c>
      <c r="B254" s="19" t="s">
        <v>655</v>
      </c>
      <c r="C254" s="19" t="s">
        <v>6</v>
      </c>
      <c r="D254" s="20" t="s">
        <v>116</v>
      </c>
      <c r="F254" t="str">
        <f ca="1"/>
        <v>Yashvant Harishchandra Bandgar</v>
      </c>
    </row>
    <row r="255" spans="1:6" ht="15" customHeight="1" x14ac:dyDescent="0.25">
      <c r="A255" s="13" t="s">
        <v>656</v>
      </c>
      <c r="B255" s="12" t="s">
        <v>657</v>
      </c>
      <c r="C255" s="12" t="s">
        <v>6</v>
      </c>
      <c r="D255" s="14" t="s">
        <v>116</v>
      </c>
      <c r="F255" t="str">
        <f ca="1"/>
        <v>Akshay Prakash Darkunde</v>
      </c>
    </row>
    <row r="256" spans="1:6" ht="15" customHeight="1" x14ac:dyDescent="0.25">
      <c r="A256" s="13" t="s">
        <v>658</v>
      </c>
      <c r="B256" s="12" t="s">
        <v>659</v>
      </c>
      <c r="C256" s="12" t="s">
        <v>6</v>
      </c>
      <c r="D256" s="14" t="s">
        <v>116</v>
      </c>
      <c r="F256" t="str">
        <f ca="1"/>
        <v>Aashish Shamrao Mundhe</v>
      </c>
    </row>
    <row r="257" spans="1:6" ht="15" customHeight="1" x14ac:dyDescent="0.25">
      <c r="A257" s="13" t="s">
        <v>660</v>
      </c>
      <c r="B257" s="12" t="s">
        <v>661</v>
      </c>
      <c r="C257" s="12" t="s">
        <v>6</v>
      </c>
      <c r="D257" s="14" t="s">
        <v>116</v>
      </c>
      <c r="F257" t="str">
        <f ca="1"/>
        <v>Atharv Shriram Adsul</v>
      </c>
    </row>
    <row r="258" spans="1:6" ht="15" customHeight="1" x14ac:dyDescent="0.25">
      <c r="A258" s="13" t="s">
        <v>662</v>
      </c>
      <c r="B258" s="12" t="s">
        <v>663</v>
      </c>
      <c r="C258" s="12" t="s">
        <v>6</v>
      </c>
      <c r="D258" s="14" t="s">
        <v>116</v>
      </c>
      <c r="F258" t="str">
        <f ca="1"/>
        <v>Jayant Swamirao Salunke</v>
      </c>
    </row>
    <row r="259" spans="1:6" ht="15" customHeight="1" x14ac:dyDescent="0.25">
      <c r="A259" s="13" t="s">
        <v>664</v>
      </c>
      <c r="B259" s="12" t="s">
        <v>665</v>
      </c>
      <c r="C259" s="12" t="s">
        <v>6</v>
      </c>
      <c r="D259" s="14" t="s">
        <v>116</v>
      </c>
      <c r="F259" t="str">
        <f ca="1"/>
        <v>Prasad Parshuram Chavan</v>
      </c>
    </row>
    <row r="260" spans="1:6" ht="15" customHeight="1" x14ac:dyDescent="0.25">
      <c r="A260" s="13" t="s">
        <v>666</v>
      </c>
      <c r="B260" s="12" t="s">
        <v>667</v>
      </c>
      <c r="C260" s="12" t="s">
        <v>6</v>
      </c>
      <c r="D260" s="14" t="s">
        <v>116</v>
      </c>
      <c r="F260" t="str">
        <f ca="1"/>
        <v>Prakash Govardhan Zendage</v>
      </c>
    </row>
    <row r="261" spans="1:6" ht="15" customHeight="1" x14ac:dyDescent="0.25">
      <c r="A261" s="13" t="s">
        <v>668</v>
      </c>
      <c r="B261" s="12" t="s">
        <v>669</v>
      </c>
      <c r="C261" s="12" t="s">
        <v>6</v>
      </c>
      <c r="D261" s="14" t="s">
        <v>116</v>
      </c>
      <c r="F261" t="str">
        <f ca="1"/>
        <v>Bappu Pandurang Gaikwad</v>
      </c>
    </row>
    <row r="262" spans="1:6" ht="15" customHeight="1" x14ac:dyDescent="0.25">
      <c r="A262" s="13" t="s">
        <v>670</v>
      </c>
      <c r="B262" s="12" t="s">
        <v>671</v>
      </c>
      <c r="C262" s="12" t="s">
        <v>6</v>
      </c>
      <c r="D262" s="14" t="s">
        <v>116</v>
      </c>
      <c r="F262" t="str">
        <f ca="1"/>
        <v>Vinay Santosh Waghmode</v>
      </c>
    </row>
    <row r="263" spans="1:6" ht="15" customHeight="1" x14ac:dyDescent="0.25">
      <c r="A263" s="13" t="s">
        <v>672</v>
      </c>
      <c r="B263" s="12" t="s">
        <v>673</v>
      </c>
      <c r="C263" s="12" t="s">
        <v>6</v>
      </c>
      <c r="D263" s="14" t="s">
        <v>116</v>
      </c>
      <c r="F263" t="str">
        <f ca="1"/>
        <v>Sanket Dattatray Gavli</v>
      </c>
    </row>
    <row r="264" spans="1:6" ht="15" customHeight="1" x14ac:dyDescent="0.25">
      <c r="A264" s="13" t="s">
        <v>674</v>
      </c>
      <c r="B264" s="12" t="s">
        <v>675</v>
      </c>
      <c r="C264" s="12" t="s">
        <v>6</v>
      </c>
      <c r="D264" s="14" t="s">
        <v>116</v>
      </c>
      <c r="F264" t="str">
        <f ca="1"/>
        <v>Pravin Sadanand Nakka</v>
      </c>
    </row>
    <row r="265" spans="1:6" ht="15" customHeight="1" x14ac:dyDescent="0.25">
      <c r="A265" s="13" t="s">
        <v>676</v>
      </c>
      <c r="B265" s="12" t="s">
        <v>677</v>
      </c>
      <c r="C265" s="12" t="s">
        <v>14</v>
      </c>
      <c r="D265" s="14" t="s">
        <v>100</v>
      </c>
      <c r="F265" t="str">
        <f ca="1"/>
        <v>Sushant Popat Masane</v>
      </c>
    </row>
    <row r="266" spans="1:6" ht="15" customHeight="1" x14ac:dyDescent="0.25">
      <c r="A266" s="13" t="s">
        <v>678</v>
      </c>
      <c r="B266" s="12" t="s">
        <v>679</v>
      </c>
      <c r="C266" s="12" t="s">
        <v>24</v>
      </c>
      <c r="D266" s="14" t="s">
        <v>680</v>
      </c>
      <c r="F266" t="str">
        <f ca="1"/>
        <v>Niranjan Rajendra Mohite</v>
      </c>
    </row>
    <row r="267" spans="1:6" ht="15" customHeight="1" x14ac:dyDescent="0.25">
      <c r="A267" s="13" t="s">
        <v>681</v>
      </c>
      <c r="B267" s="12" t="s">
        <v>682</v>
      </c>
      <c r="C267" s="12" t="s">
        <v>6</v>
      </c>
      <c r="D267" s="14" t="s">
        <v>116</v>
      </c>
      <c r="F267" t="str">
        <f ca="1"/>
        <v>Ratan Dadaso Sonavale</v>
      </c>
    </row>
    <row r="268" spans="1:6" ht="15" customHeight="1" x14ac:dyDescent="0.25">
      <c r="A268" s="13" t="s">
        <v>683</v>
      </c>
      <c r="B268" s="12" t="s">
        <v>684</v>
      </c>
      <c r="C268" s="12" t="s">
        <v>6</v>
      </c>
      <c r="D268" s="14" t="s">
        <v>116</v>
      </c>
      <c r="F268" t="str">
        <f ca="1"/>
        <v>Shivaraj Ashok Jamunkar</v>
      </c>
    </row>
    <row r="269" spans="1:6" ht="15" customHeight="1" x14ac:dyDescent="0.25">
      <c r="A269" s="13" t="s">
        <v>685</v>
      </c>
      <c r="B269" s="12" t="s">
        <v>686</v>
      </c>
      <c r="C269" s="12" t="s">
        <v>17</v>
      </c>
      <c r="D269" s="14" t="s">
        <v>183</v>
      </c>
      <c r="F269" t="str">
        <f ca="1"/>
        <v>Pranit Dagadu Kadam</v>
      </c>
    </row>
    <row r="270" spans="1:6" ht="15" customHeight="1" x14ac:dyDescent="0.25">
      <c r="A270" s="13" t="s">
        <v>687</v>
      </c>
      <c r="B270" s="12" t="s">
        <v>688</v>
      </c>
      <c r="C270" s="12" t="s">
        <v>6</v>
      </c>
      <c r="D270" s="14" t="s">
        <v>116</v>
      </c>
      <c r="F270" t="str">
        <f ca="1"/>
        <v>Eknath Balu Avtade</v>
      </c>
    </row>
    <row r="271" spans="1:6" ht="15" customHeight="1" x14ac:dyDescent="0.25">
      <c r="A271" s="13" t="s">
        <v>689</v>
      </c>
      <c r="B271" s="12" t="s">
        <v>690</v>
      </c>
      <c r="C271" s="12" t="s">
        <v>6</v>
      </c>
      <c r="D271" s="14" t="s">
        <v>116</v>
      </c>
      <c r="F271" t="str">
        <f ca="1"/>
        <v>Vijay Haridas Pawar</v>
      </c>
    </row>
    <row r="272" spans="1:6" ht="15" customHeight="1" x14ac:dyDescent="0.25">
      <c r="A272" s="13" t="s">
        <v>691</v>
      </c>
      <c r="B272" s="12" t="s">
        <v>692</v>
      </c>
      <c r="C272" s="12" t="s">
        <v>18</v>
      </c>
      <c r="D272" s="14" t="s">
        <v>134</v>
      </c>
      <c r="F272" t="str">
        <f ca="1"/>
        <v>Sunil Sanjay Chanmal</v>
      </c>
    </row>
    <row r="273" spans="1:6" ht="15" customHeight="1" x14ac:dyDescent="0.25">
      <c r="A273" s="13" t="s">
        <v>693</v>
      </c>
      <c r="B273" s="12" t="s">
        <v>694</v>
      </c>
      <c r="C273" s="12" t="s">
        <v>18</v>
      </c>
      <c r="D273" s="14" t="s">
        <v>111</v>
      </c>
      <c r="F273" t="str">
        <f ca="1"/>
        <v>Mahesh Siddheshwar Jadhav</v>
      </c>
    </row>
    <row r="274" spans="1:6" ht="15" customHeight="1" x14ac:dyDescent="0.25">
      <c r="A274" s="13" t="s">
        <v>695</v>
      </c>
      <c r="B274" s="12" t="s">
        <v>696</v>
      </c>
      <c r="C274" s="12" t="s">
        <v>18</v>
      </c>
      <c r="D274" s="14" t="s">
        <v>134</v>
      </c>
      <c r="F274" t="str">
        <f ca="1"/>
        <v>Pravin Shantaram Deshmukh</v>
      </c>
    </row>
    <row r="275" spans="1:6" ht="15" customHeight="1" x14ac:dyDescent="0.25">
      <c r="A275" s="13" t="s">
        <v>697</v>
      </c>
      <c r="B275" s="12" t="s">
        <v>698</v>
      </c>
      <c r="C275" s="12" t="s">
        <v>32</v>
      </c>
      <c r="D275" s="14" t="s">
        <v>699</v>
      </c>
      <c r="F275" t="str">
        <f ca="1"/>
        <v>Jitendra Balkrushna Navarkar</v>
      </c>
    </row>
    <row r="276" spans="1:6" ht="15" customHeight="1" x14ac:dyDescent="0.25">
      <c r="A276" s="13" t="s">
        <v>700</v>
      </c>
      <c r="B276" s="12" t="s">
        <v>701</v>
      </c>
      <c r="C276" s="12" t="s">
        <v>10</v>
      </c>
      <c r="D276" s="14" t="s">
        <v>307</v>
      </c>
      <c r="F276" t="str">
        <f ca="1"/>
        <v>Arvind Kumar Rameshwar Prasad</v>
      </c>
    </row>
    <row r="277" spans="1:6" ht="15" customHeight="1" x14ac:dyDescent="0.25">
      <c r="A277" s="13" t="s">
        <v>702</v>
      </c>
      <c r="B277" s="12" t="s">
        <v>703</v>
      </c>
      <c r="C277" s="12" t="s">
        <v>18</v>
      </c>
      <c r="D277" s="14" t="s">
        <v>134</v>
      </c>
      <c r="F277" t="str">
        <f ca="1"/>
        <v>Vikas Vaman Chavan</v>
      </c>
    </row>
    <row r="278" spans="1:6" ht="15" customHeight="1" x14ac:dyDescent="0.25">
      <c r="A278" s="13" t="s">
        <v>704</v>
      </c>
      <c r="B278" s="12" t="s">
        <v>705</v>
      </c>
      <c r="C278" s="12" t="s">
        <v>28</v>
      </c>
      <c r="D278" s="14" t="s">
        <v>190</v>
      </c>
      <c r="F278" t="str">
        <f ca="1"/>
        <v>Nikhil Gopal Jadhav</v>
      </c>
    </row>
    <row r="279" spans="1:6" ht="15" customHeight="1" x14ac:dyDescent="0.25">
      <c r="A279" s="13" t="s">
        <v>706</v>
      </c>
      <c r="B279" s="12" t="s">
        <v>707</v>
      </c>
      <c r="C279" s="12" t="s">
        <v>6</v>
      </c>
      <c r="D279" s="14" t="s">
        <v>116</v>
      </c>
      <c r="F279" t="str">
        <f ca="1"/>
        <v>Parth Shrikant Yadhav</v>
      </c>
    </row>
    <row r="280" spans="1:6" ht="15" customHeight="1" x14ac:dyDescent="0.25">
      <c r="A280" s="13" t="s">
        <v>708</v>
      </c>
      <c r="B280" s="12" t="s">
        <v>709</v>
      </c>
      <c r="C280" s="12" t="s">
        <v>6</v>
      </c>
      <c r="D280" s="14" t="s">
        <v>116</v>
      </c>
      <c r="F280" t="str">
        <f ca="1"/>
        <v>Ganesh Balasaheb Kashid</v>
      </c>
    </row>
    <row r="281" spans="1:6" ht="15" customHeight="1" x14ac:dyDescent="0.25">
      <c r="A281" s="13" t="s">
        <v>710</v>
      </c>
      <c r="B281" s="12" t="s">
        <v>711</v>
      </c>
      <c r="C281" s="12" t="s">
        <v>6</v>
      </c>
      <c r="D281" s="14" t="s">
        <v>116</v>
      </c>
      <c r="F281" t="str">
        <f ca="1"/>
        <v>Abhijit Nitin More</v>
      </c>
    </row>
    <row r="282" spans="1:6" ht="15" customHeight="1" x14ac:dyDescent="0.25">
      <c r="A282" s="13" t="s">
        <v>712</v>
      </c>
      <c r="B282" s="12" t="s">
        <v>713</v>
      </c>
      <c r="C282" s="12" t="s">
        <v>6</v>
      </c>
      <c r="D282" s="14" t="s">
        <v>116</v>
      </c>
      <c r="F282" t="str">
        <f ca="1"/>
        <v>Dilip Kumar Arabole</v>
      </c>
    </row>
    <row r="283" spans="1:6" ht="15" customHeight="1" x14ac:dyDescent="0.25">
      <c r="A283" s="13" t="s">
        <v>714</v>
      </c>
      <c r="B283" s="12" t="s">
        <v>715</v>
      </c>
      <c r="C283" s="12" t="s">
        <v>6</v>
      </c>
      <c r="D283" s="14" t="s">
        <v>116</v>
      </c>
      <c r="F283" t="str">
        <f ca="1"/>
        <v>Mahesh Eknath Gavali</v>
      </c>
    </row>
    <row r="284" spans="1:6" ht="15" customHeight="1" x14ac:dyDescent="0.25">
      <c r="A284" s="13" t="s">
        <v>716</v>
      </c>
      <c r="B284" s="12" t="s">
        <v>717</v>
      </c>
      <c r="C284" s="12" t="s">
        <v>6</v>
      </c>
      <c r="D284" s="14" t="s">
        <v>116</v>
      </c>
      <c r="F284" t="str">
        <f ca="1"/>
        <v>Dnyaneshwar Rajendra Chaugule</v>
      </c>
    </row>
    <row r="285" spans="1:6" ht="15" customHeight="1" x14ac:dyDescent="0.25">
      <c r="A285" s="13" t="s">
        <v>718</v>
      </c>
      <c r="B285" s="12" t="s">
        <v>719</v>
      </c>
      <c r="C285" s="12" t="s">
        <v>6</v>
      </c>
      <c r="D285" s="14" t="s">
        <v>116</v>
      </c>
      <c r="F285" t="str">
        <f ca="1"/>
        <v>Abhishek Mallinath Dhumma</v>
      </c>
    </row>
    <row r="286" spans="1:6" ht="15" customHeight="1" x14ac:dyDescent="0.25">
      <c r="A286" s="13" t="s">
        <v>720</v>
      </c>
      <c r="B286" s="12" t="s">
        <v>721</v>
      </c>
      <c r="C286" s="12" t="s">
        <v>6</v>
      </c>
      <c r="D286" s="14" t="s">
        <v>116</v>
      </c>
      <c r="F286" t="str">
        <f ca="1"/>
        <v>Sachin Chandrakant Padwal</v>
      </c>
    </row>
    <row r="287" spans="1:6" ht="15" customHeight="1" x14ac:dyDescent="0.25">
      <c r="A287" s="13" t="s">
        <v>629</v>
      </c>
      <c r="B287" s="12" t="s">
        <v>630</v>
      </c>
      <c r="C287" s="12" t="s">
        <v>12</v>
      </c>
      <c r="D287" s="14" t="s">
        <v>124</v>
      </c>
      <c r="F287" t="str">
        <f ca="1"/>
        <v>Vikas Mangilal Shah</v>
      </c>
    </row>
    <row r="288" spans="1:6" ht="15" customHeight="1" x14ac:dyDescent="0.25">
      <c r="A288" s="13" t="s">
        <v>631</v>
      </c>
      <c r="B288" s="12" t="s">
        <v>632</v>
      </c>
      <c r="C288" s="12" t="s">
        <v>34</v>
      </c>
      <c r="D288" s="14" t="s">
        <v>633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6A09-3EE6-4733-9137-8D594E821FC1}">
  <dimension ref="A1:L36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2.42578125" style="1" bestFit="1" customWidth="1"/>
    <col min="2" max="2" width="2.28515625" style="1" customWidth="1"/>
    <col min="3" max="3" width="45.42578125" style="1" bestFit="1" customWidth="1"/>
    <col min="4" max="4" width="2.28515625" style="1" customWidth="1"/>
    <col min="5" max="5" width="25.28515625" style="1" bestFit="1" customWidth="1"/>
    <col min="6" max="6" width="2.28515625" style="1" customWidth="1"/>
    <col min="7" max="9" width="9.140625" style="1"/>
    <col min="10" max="10" width="20.85546875" style="6" bestFit="1" customWidth="1"/>
    <col min="11" max="11" width="24.42578125" style="6" bestFit="1" customWidth="1"/>
    <col min="12" max="12" width="17.5703125" style="6" bestFit="1" customWidth="1"/>
    <col min="13" max="16384" width="9.140625" style="1"/>
  </cols>
  <sheetData>
    <row r="1" spans="1:12" x14ac:dyDescent="0.25">
      <c r="A1" s="4" t="s">
        <v>0</v>
      </c>
      <c r="C1" s="1" t="s">
        <v>1</v>
      </c>
      <c r="E1" s="1" t="s">
        <v>2</v>
      </c>
    </row>
    <row r="2" spans="1:12" x14ac:dyDescent="0.25">
      <c r="A2" s="1" t="s">
        <v>3</v>
      </c>
      <c r="C2" s="1" t="s">
        <v>639</v>
      </c>
      <c r="E2" s="1" t="s">
        <v>645</v>
      </c>
    </row>
    <row r="3" spans="1:12" x14ac:dyDescent="0.25">
      <c r="A3" s="1" t="s">
        <v>6</v>
      </c>
      <c r="C3" s="1" t="s">
        <v>722</v>
      </c>
      <c r="E3" s="1" t="s">
        <v>643</v>
      </c>
      <c r="J3" s="21" t="s">
        <v>9</v>
      </c>
      <c r="K3" s="21"/>
      <c r="L3" s="21"/>
    </row>
    <row r="4" spans="1:12" x14ac:dyDescent="0.25">
      <c r="A4" s="1" t="s">
        <v>10</v>
      </c>
      <c r="C4" s="1" t="s">
        <v>723</v>
      </c>
      <c r="E4" s="1" t="s">
        <v>640</v>
      </c>
    </row>
    <row r="5" spans="1:12" x14ac:dyDescent="0.25">
      <c r="A5" s="1" t="s">
        <v>12</v>
      </c>
      <c r="C5" s="1" t="s">
        <v>724</v>
      </c>
      <c r="E5" s="1" t="s">
        <v>641</v>
      </c>
      <c r="J5" s="6" t="str" cm="1">
        <f t="array" aca="1" ref="J5:J36" ca="1">INDIRECT("DeptName01[Department Name]")</f>
        <v>Boiler</v>
      </c>
      <c r="K5" s="6" t="str" cm="1">
        <f t="array" aca="1" ref="K5:K17" ca="1">INDIRECT("Con_Rec_Item01[Consumable &amp; Recurring Item]")</f>
        <v>Brother Printer Toner Cartridge (Model HL-L2321D)</v>
      </c>
      <c r="L5" s="6" t="str" cm="1">
        <f t="array" aca="1" ref="L5:L25" ca="1">INDIRECT("CompEquip01[Computer Equipment]")</f>
        <v>COMPUTER CMOS CELL</v>
      </c>
    </row>
    <row r="6" spans="1:12" x14ac:dyDescent="0.25">
      <c r="A6" s="1" t="s">
        <v>14</v>
      </c>
      <c r="C6" s="1" t="s">
        <v>725</v>
      </c>
      <c r="E6" s="1" t="s">
        <v>83</v>
      </c>
      <c r="J6" s="6" t="str">
        <f ca="1"/>
        <v>Production</v>
      </c>
      <c r="K6" s="6" t="str">
        <f ca="1"/>
        <v>Canon G790 Black Ink Bottle</v>
      </c>
      <c r="L6" s="6" t="str">
        <f ca="1"/>
        <v>COMPUTER MOUSE PAD</v>
      </c>
    </row>
    <row r="7" spans="1:12" x14ac:dyDescent="0.25">
      <c r="A7" s="1" t="s">
        <v>16</v>
      </c>
      <c r="C7" s="1" t="s">
        <v>82</v>
      </c>
      <c r="E7" s="1" t="s">
        <v>5</v>
      </c>
      <c r="J7" s="6" t="str">
        <f ca="1"/>
        <v>PD Lab</v>
      </c>
      <c r="K7" s="6" t="str">
        <f ca="1"/>
        <v>Canon G790 Cyan Ink Bottle</v>
      </c>
      <c r="L7" s="6" t="str">
        <f ca="1"/>
        <v>External HDD</v>
      </c>
    </row>
    <row r="8" spans="1:12" x14ac:dyDescent="0.25">
      <c r="A8" s="1" t="s">
        <v>17</v>
      </c>
      <c r="C8" s="1" t="s">
        <v>635</v>
      </c>
      <c r="E8" s="1" t="s">
        <v>646</v>
      </c>
      <c r="J8" s="6" t="str">
        <f ca="1"/>
        <v>HR</v>
      </c>
      <c r="K8" s="6" t="str">
        <f ca="1"/>
        <v>Canon G790 Magenta Ink Bottle</v>
      </c>
      <c r="L8" s="6" t="str">
        <f ca="1"/>
        <v>External SSD</v>
      </c>
    </row>
    <row r="9" spans="1:12" x14ac:dyDescent="0.25">
      <c r="A9" s="1" t="s">
        <v>18</v>
      </c>
      <c r="C9" s="1" t="s">
        <v>636</v>
      </c>
      <c r="E9" s="1" t="s">
        <v>15</v>
      </c>
      <c r="J9" s="6" t="str">
        <f ca="1"/>
        <v>QC &amp; QA</v>
      </c>
      <c r="K9" s="6" t="str">
        <f ca="1"/>
        <v>Canon G790 Yellow Ink Bottle</v>
      </c>
      <c r="L9" s="6" t="str">
        <f ca="1"/>
        <v>HDD</v>
      </c>
    </row>
    <row r="10" spans="1:12" x14ac:dyDescent="0.25">
      <c r="A10" s="1" t="s">
        <v>19</v>
      </c>
      <c r="C10" s="1" t="s">
        <v>637</v>
      </c>
      <c r="E10" s="1" t="s">
        <v>8</v>
      </c>
      <c r="J10" s="6" t="str">
        <f ca="1"/>
        <v>Project</v>
      </c>
      <c r="K10" s="6" t="str">
        <f ca="1"/>
        <v>Canon Pixma Genuine Cartridge 70 Black</v>
      </c>
      <c r="L10" s="6" t="str">
        <f ca="1"/>
        <v>Keyboard Wired</v>
      </c>
    </row>
    <row r="11" spans="1:12" x14ac:dyDescent="0.25">
      <c r="A11" s="1" t="s">
        <v>20</v>
      </c>
      <c r="C11" s="1" t="s">
        <v>638</v>
      </c>
      <c r="E11" s="1" t="s">
        <v>88</v>
      </c>
      <c r="J11" s="6" t="str">
        <f ca="1"/>
        <v>Electrical</v>
      </c>
      <c r="K11" s="6" t="str">
        <f ca="1"/>
        <v>Epson 003 Black Ink Bottle</v>
      </c>
      <c r="L11" s="6" t="str">
        <f ca="1"/>
        <v>LAPTOP BATTERY</v>
      </c>
    </row>
    <row r="12" spans="1:12" x14ac:dyDescent="0.25">
      <c r="A12" s="1" t="s">
        <v>21</v>
      </c>
      <c r="C12" s="1" t="s">
        <v>7</v>
      </c>
      <c r="E12" s="1" t="s">
        <v>647</v>
      </c>
      <c r="J12" s="6" t="str">
        <f ca="1"/>
        <v>Maintenance</v>
      </c>
      <c r="K12" s="6" t="str">
        <f ca="1"/>
        <v>Epson 003 Cyan Ink Bottle</v>
      </c>
      <c r="L12" s="6" t="str">
        <f ca="1"/>
        <v>Mouse Pad</v>
      </c>
    </row>
    <row r="13" spans="1:12" x14ac:dyDescent="0.25">
      <c r="A13" s="1" t="s">
        <v>22</v>
      </c>
      <c r="C13" s="1" t="s">
        <v>651</v>
      </c>
      <c r="E13" s="1" t="s">
        <v>644</v>
      </c>
      <c r="J13" s="6" t="str">
        <f ca="1"/>
        <v>Quality Control</v>
      </c>
      <c r="K13" s="6" t="str">
        <f ca="1"/>
        <v>Epson 003 Magenta Ink Bottle</v>
      </c>
      <c r="L13" s="6" t="str">
        <f ca="1"/>
        <v>Mouse Wired</v>
      </c>
    </row>
    <row r="14" spans="1:12" x14ac:dyDescent="0.25">
      <c r="A14" s="1" t="s">
        <v>23</v>
      </c>
      <c r="C14" s="1" t="s">
        <v>4</v>
      </c>
      <c r="E14" s="1" t="s">
        <v>76</v>
      </c>
      <c r="J14" s="6" t="str">
        <f ca="1"/>
        <v>Accounts</v>
      </c>
      <c r="K14" s="6" t="str">
        <f ca="1"/>
        <v>Epson 003 Yellow Ink Bottle</v>
      </c>
      <c r="L14" s="6" t="str">
        <f ca="1"/>
        <v>Pendrive</v>
      </c>
    </row>
    <row r="15" spans="1:12" x14ac:dyDescent="0.25">
      <c r="A15" s="1" t="s">
        <v>24</v>
      </c>
      <c r="E15" s="1" t="s">
        <v>84</v>
      </c>
      <c r="J15" s="6" t="str">
        <f ca="1"/>
        <v>Admin</v>
      </c>
      <c r="K15" s="6" t="str">
        <f ca="1"/>
        <v>Printer Toner Canon 12A Black</v>
      </c>
      <c r="L15" s="6" t="str">
        <f ca="1"/>
        <v>POWER ADAPTER</v>
      </c>
    </row>
    <row r="16" spans="1:12" x14ac:dyDescent="0.25">
      <c r="A16" s="1" t="s">
        <v>25</v>
      </c>
      <c r="E16" s="1" t="s">
        <v>85</v>
      </c>
      <c r="J16" s="6" t="str">
        <f ca="1"/>
        <v>EHS</v>
      </c>
      <c r="K16" s="6" t="str">
        <f ca="1"/>
        <v>Printer Toner Cartridge 166A</v>
      </c>
      <c r="L16" s="6" t="str">
        <f ca="1"/>
        <v>POWER CORD</v>
      </c>
    </row>
    <row r="17" spans="1:12" x14ac:dyDescent="0.25">
      <c r="A17" s="1" t="s">
        <v>26</v>
      </c>
      <c r="E17" s="1" t="s">
        <v>86</v>
      </c>
      <c r="J17" s="6" t="str">
        <f ca="1"/>
        <v>Utility</v>
      </c>
      <c r="K17" s="6" t="str">
        <f ca="1"/>
        <v>Printer Toner HP 88A Black</v>
      </c>
      <c r="L17" s="6" t="str">
        <f ca="1"/>
        <v>Processor (CPU) Fan</v>
      </c>
    </row>
    <row r="18" spans="1:12" x14ac:dyDescent="0.25">
      <c r="A18" s="1" t="s">
        <v>27</v>
      </c>
      <c r="E18" s="1" t="s">
        <v>87</v>
      </c>
      <c r="J18" s="6" t="str">
        <f ca="1"/>
        <v>Store</v>
      </c>
      <c r="L18" s="6" t="str">
        <f ca="1"/>
        <v>RAM</v>
      </c>
    </row>
    <row r="19" spans="1:12" x14ac:dyDescent="0.25">
      <c r="A19" s="1" t="s">
        <v>28</v>
      </c>
      <c r="E19" s="1" t="s">
        <v>642</v>
      </c>
      <c r="J19" s="6" t="str">
        <f ca="1"/>
        <v>Technical Services</v>
      </c>
      <c r="L19" s="6" t="str">
        <f ca="1"/>
        <v>SMPS</v>
      </c>
    </row>
    <row r="20" spans="1:12" x14ac:dyDescent="0.25">
      <c r="A20" s="1" t="s">
        <v>29</v>
      </c>
      <c r="E20" s="1" t="s">
        <v>11</v>
      </c>
      <c r="J20" s="6" t="str">
        <f ca="1"/>
        <v>SCM</v>
      </c>
      <c r="L20" s="6" t="str">
        <f ca="1"/>
        <v>SSD (128 GB)</v>
      </c>
    </row>
    <row r="21" spans="1:12" x14ac:dyDescent="0.25">
      <c r="A21" s="1" t="s">
        <v>30</v>
      </c>
      <c r="E21" s="1" t="s">
        <v>13</v>
      </c>
      <c r="J21" s="6" t="str">
        <f ca="1"/>
        <v>Purchase</v>
      </c>
      <c r="L21" s="6" t="str">
        <f ca="1"/>
        <v>SSD (256 GB)</v>
      </c>
    </row>
    <row r="22" spans="1:12" x14ac:dyDescent="0.25">
      <c r="A22" s="1" t="s">
        <v>31</v>
      </c>
      <c r="E22" s="1" t="s">
        <v>649</v>
      </c>
      <c r="J22" s="6" t="str">
        <f ca="1"/>
        <v>Instrument</v>
      </c>
      <c r="L22" s="6" t="str">
        <f ca="1"/>
        <v>VGA TO HDMI CONVERTOR</v>
      </c>
    </row>
    <row r="23" spans="1:12" x14ac:dyDescent="0.25">
      <c r="A23" s="1" t="s">
        <v>32</v>
      </c>
      <c r="J23" s="6" t="str">
        <f ca="1"/>
        <v>Environment</v>
      </c>
      <c r="L23" s="6" t="str">
        <f ca="1"/>
        <v>Wireless Keyboard</v>
      </c>
    </row>
    <row r="24" spans="1:12" x14ac:dyDescent="0.25">
      <c r="A24" s="1" t="s">
        <v>33</v>
      </c>
      <c r="J24" s="6" t="str">
        <f ca="1"/>
        <v>Quality Assurance</v>
      </c>
      <c r="L24" s="6" t="str">
        <f ca="1"/>
        <v>Wireless Mouse</v>
      </c>
    </row>
    <row r="25" spans="1:12" x14ac:dyDescent="0.25">
      <c r="A25" s="1" t="s">
        <v>34</v>
      </c>
      <c r="J25" s="6" t="str">
        <f ca="1"/>
        <v>IT</v>
      </c>
      <c r="L25" s="6" t="str">
        <f ca="1"/>
        <v>Network Switch</v>
      </c>
    </row>
    <row r="26" spans="1:12" x14ac:dyDescent="0.25">
      <c r="A26" s="1" t="s">
        <v>81</v>
      </c>
      <c r="J26" s="6" t="str">
        <f ca="1"/>
        <v>Engineering</v>
      </c>
    </row>
    <row r="27" spans="1:12" x14ac:dyDescent="0.25">
      <c r="A27" s="1" t="s">
        <v>35</v>
      </c>
      <c r="J27" s="6" t="str">
        <f ca="1"/>
        <v>Operation</v>
      </c>
    </row>
    <row r="28" spans="1:12" x14ac:dyDescent="0.25">
      <c r="A28" s="1" t="s">
        <v>36</v>
      </c>
      <c r="J28" s="6" t="str">
        <f ca="1"/>
        <v>Management</v>
      </c>
    </row>
    <row r="29" spans="1:12" x14ac:dyDescent="0.25">
      <c r="A29" s="1" t="s">
        <v>37</v>
      </c>
      <c r="J29" s="6" t="str">
        <f ca="1"/>
        <v>Draftsman</v>
      </c>
    </row>
    <row r="30" spans="1:12" x14ac:dyDescent="0.25">
      <c r="A30" s="1" t="s">
        <v>38</v>
      </c>
      <c r="J30" s="6" t="str">
        <f ca="1"/>
        <v>Engineering Store</v>
      </c>
    </row>
    <row r="31" spans="1:12" x14ac:dyDescent="0.25">
      <c r="A31" s="1" t="s">
        <v>39</v>
      </c>
      <c r="J31" s="6" t="str">
        <f ca="1"/>
        <v>Raw Store</v>
      </c>
    </row>
    <row r="32" spans="1:12" x14ac:dyDescent="0.25">
      <c r="A32" s="1" t="s">
        <v>40</v>
      </c>
      <c r="J32" s="6" t="str">
        <f ca="1"/>
        <v>Security Gate E16</v>
      </c>
    </row>
    <row r="33" spans="1:10" x14ac:dyDescent="0.25">
      <c r="A33" s="1" t="s">
        <v>40</v>
      </c>
      <c r="J33" s="6" t="str">
        <f ca="1"/>
        <v>Security Gate E22</v>
      </c>
    </row>
    <row r="34" spans="1:10" x14ac:dyDescent="0.25">
      <c r="J34" s="6" t="str">
        <f ca="1"/>
        <v>Security Main Gate E17</v>
      </c>
    </row>
    <row r="35" spans="1:10" x14ac:dyDescent="0.25">
      <c r="J35" s="6" t="str">
        <f ca="1"/>
        <v>Security Main Gate E18</v>
      </c>
    </row>
    <row r="36" spans="1:10" x14ac:dyDescent="0.25">
      <c r="J36" s="6" t="str">
        <f ca="1"/>
        <v>Security Main Gate E18</v>
      </c>
    </row>
  </sheetData>
  <mergeCells count="1">
    <mergeCell ref="J3:L3"/>
  </mergeCells>
  <pageMargins left="0.7" right="0.7" top="0.75" bottom="0.75" header="0.3" footer="0.3"/>
  <pageSetup paperSize="9" orientation="portrait" horizontalDpi="0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DED6-8044-4259-834E-E7E159FF542D}">
  <dimension ref="A1:D37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C28" sqref="C28"/>
    </sheetView>
  </sheetViews>
  <sheetFormatPr defaultRowHeight="15" x14ac:dyDescent="0.25"/>
  <cols>
    <col min="1" max="1" width="11" style="1" bestFit="1" customWidth="1"/>
    <col min="2" max="2" width="18.5703125" style="2" bestFit="1" customWidth="1"/>
    <col min="3" max="3" width="45.42578125" style="1" bestFit="1" customWidth="1"/>
    <col min="4" max="4" width="10.5703125" style="1" bestFit="1" customWidth="1"/>
    <col min="5" max="16384" width="9.140625" style="3"/>
  </cols>
  <sheetData>
    <row r="1" spans="1:4" x14ac:dyDescent="0.25">
      <c r="A1" s="1" t="s">
        <v>41</v>
      </c>
      <c r="B1" s="2" t="s">
        <v>42</v>
      </c>
      <c r="C1" s="1" t="s">
        <v>43</v>
      </c>
      <c r="D1" s="1" t="s">
        <v>44</v>
      </c>
    </row>
    <row r="2" spans="1:4" x14ac:dyDescent="0.25">
      <c r="A2" s="1">
        <f>ROW()-ROW($A$1)</f>
        <v>1</v>
      </c>
      <c r="B2" s="2">
        <v>45491</v>
      </c>
      <c r="C2" s="1" t="s">
        <v>4</v>
      </c>
      <c r="D2" s="1">
        <v>10</v>
      </c>
    </row>
    <row r="3" spans="1:4" x14ac:dyDescent="0.25">
      <c r="A3" s="1">
        <f t="shared" ref="A3:A11" si="0">ROW()-ROW($A$1)</f>
        <v>2</v>
      </c>
      <c r="B3" s="2">
        <v>45496</v>
      </c>
      <c r="C3" s="1" t="s">
        <v>4</v>
      </c>
      <c r="D3" s="1">
        <v>5</v>
      </c>
    </row>
    <row r="4" spans="1:4" x14ac:dyDescent="0.25">
      <c r="A4" s="1">
        <f t="shared" si="0"/>
        <v>3</v>
      </c>
      <c r="B4" s="2">
        <v>45604</v>
      </c>
      <c r="C4" s="1" t="s">
        <v>4</v>
      </c>
      <c r="D4" s="1">
        <v>15</v>
      </c>
    </row>
    <row r="5" spans="1:4" x14ac:dyDescent="0.25">
      <c r="A5" s="1">
        <f t="shared" si="0"/>
        <v>4</v>
      </c>
      <c r="B5" s="2">
        <v>45698</v>
      </c>
      <c r="C5" s="1" t="s">
        <v>4</v>
      </c>
      <c r="D5" s="1">
        <v>10</v>
      </c>
    </row>
    <row r="6" spans="1:4" x14ac:dyDescent="0.25">
      <c r="A6" s="1">
        <f t="shared" si="0"/>
        <v>5</v>
      </c>
      <c r="B6" s="2">
        <v>45713</v>
      </c>
      <c r="C6" s="1" t="s">
        <v>4</v>
      </c>
      <c r="D6" s="1">
        <v>5</v>
      </c>
    </row>
    <row r="7" spans="1:4" x14ac:dyDescent="0.25">
      <c r="A7" s="1">
        <f t="shared" si="0"/>
        <v>6</v>
      </c>
      <c r="B7" s="2">
        <v>45763</v>
      </c>
      <c r="C7" s="1" t="s">
        <v>4</v>
      </c>
      <c r="D7" s="1">
        <v>9</v>
      </c>
    </row>
    <row r="8" spans="1:4" x14ac:dyDescent="0.25">
      <c r="A8" s="1">
        <f t="shared" si="0"/>
        <v>7</v>
      </c>
      <c r="B8" s="2">
        <v>45763</v>
      </c>
      <c r="C8" s="1" t="s">
        <v>7</v>
      </c>
      <c r="D8" s="1">
        <v>15</v>
      </c>
    </row>
    <row r="9" spans="1:4" x14ac:dyDescent="0.25">
      <c r="A9" s="1">
        <f t="shared" si="0"/>
        <v>8</v>
      </c>
      <c r="B9" s="2">
        <v>45793</v>
      </c>
      <c r="C9" s="1" t="s">
        <v>4</v>
      </c>
      <c r="D9" s="1">
        <v>6</v>
      </c>
    </row>
    <row r="10" spans="1:4" x14ac:dyDescent="0.25">
      <c r="A10" s="1">
        <f t="shared" si="0"/>
        <v>9</v>
      </c>
      <c r="B10" s="2">
        <v>45793</v>
      </c>
      <c r="C10" s="1" t="s">
        <v>82</v>
      </c>
      <c r="D10" s="1">
        <v>1</v>
      </c>
    </row>
    <row r="11" spans="1:4" x14ac:dyDescent="0.25">
      <c r="A11" s="1">
        <f t="shared" si="0"/>
        <v>10</v>
      </c>
      <c r="B11" s="2">
        <v>45887</v>
      </c>
      <c r="C11" s="1" t="s">
        <v>4</v>
      </c>
      <c r="D11" s="1">
        <v>15</v>
      </c>
    </row>
    <row r="12" spans="1:4" x14ac:dyDescent="0.25">
      <c r="A12" s="1">
        <f t="shared" ref="A12:A17" si="1">ROW()-ROW($A$1)</f>
        <v>11</v>
      </c>
      <c r="B12" s="2">
        <v>45887</v>
      </c>
      <c r="C12" s="1" t="s">
        <v>635</v>
      </c>
      <c r="D12" s="1">
        <v>1</v>
      </c>
    </row>
    <row r="13" spans="1:4" x14ac:dyDescent="0.25">
      <c r="A13" s="1">
        <f t="shared" si="1"/>
        <v>12</v>
      </c>
      <c r="B13" s="2">
        <v>45887</v>
      </c>
      <c r="C13" s="1" t="s">
        <v>636</v>
      </c>
      <c r="D13" s="1">
        <v>1</v>
      </c>
    </row>
    <row r="14" spans="1:4" x14ac:dyDescent="0.25">
      <c r="A14" s="1">
        <f t="shared" si="1"/>
        <v>13</v>
      </c>
      <c r="B14" s="2">
        <v>45887</v>
      </c>
      <c r="C14" s="1" t="s">
        <v>637</v>
      </c>
      <c r="D14" s="1">
        <v>1</v>
      </c>
    </row>
    <row r="15" spans="1:4" x14ac:dyDescent="0.25">
      <c r="A15" s="1">
        <f t="shared" si="1"/>
        <v>14</v>
      </c>
      <c r="B15" s="2">
        <v>45887</v>
      </c>
      <c r="C15" s="1" t="s">
        <v>638</v>
      </c>
      <c r="D15" s="1">
        <v>1</v>
      </c>
    </row>
    <row r="16" spans="1:4" x14ac:dyDescent="0.25">
      <c r="A16" s="1">
        <f t="shared" si="1"/>
        <v>15</v>
      </c>
      <c r="B16" s="2">
        <v>45887</v>
      </c>
      <c r="C16" s="1" t="s">
        <v>639</v>
      </c>
      <c r="D16" s="1">
        <v>1</v>
      </c>
    </row>
    <row r="17" spans="1:4" x14ac:dyDescent="0.25">
      <c r="A17" s="1">
        <f t="shared" si="1"/>
        <v>16</v>
      </c>
      <c r="B17" s="2">
        <v>45948</v>
      </c>
      <c r="C17" s="1" t="s">
        <v>82</v>
      </c>
      <c r="D17" s="1">
        <v>1</v>
      </c>
    </row>
    <row r="18" spans="1:4" x14ac:dyDescent="0.25">
      <c r="A18" s="1">
        <f t="shared" ref="A18:A24" si="2">ROW()-ROW($A$1)</f>
        <v>17</v>
      </c>
      <c r="B18" s="2">
        <v>45972</v>
      </c>
      <c r="C18" s="1" t="s">
        <v>4</v>
      </c>
      <c r="D18" s="1">
        <v>6</v>
      </c>
    </row>
    <row r="19" spans="1:4" x14ac:dyDescent="0.25">
      <c r="A19" s="1">
        <f t="shared" si="2"/>
        <v>18</v>
      </c>
      <c r="B19" s="2">
        <v>45972</v>
      </c>
      <c r="C19" s="1" t="s">
        <v>639</v>
      </c>
      <c r="D19" s="1">
        <v>1</v>
      </c>
    </row>
    <row r="20" spans="1:4" x14ac:dyDescent="0.25">
      <c r="A20" s="1">
        <f t="shared" si="2"/>
        <v>19</v>
      </c>
      <c r="B20" s="2">
        <v>45972</v>
      </c>
      <c r="C20" s="1" t="s">
        <v>651</v>
      </c>
      <c r="D20" s="1">
        <v>2</v>
      </c>
    </row>
    <row r="21" spans="1:4" x14ac:dyDescent="0.25">
      <c r="A21" s="1">
        <f t="shared" si="2"/>
        <v>20</v>
      </c>
      <c r="B21" s="2">
        <v>45974</v>
      </c>
      <c r="C21" s="1" t="s">
        <v>4</v>
      </c>
      <c r="D21" s="1">
        <v>9</v>
      </c>
    </row>
    <row r="22" spans="1:4" x14ac:dyDescent="0.25">
      <c r="A22" s="1">
        <f t="shared" si="2"/>
        <v>21</v>
      </c>
      <c r="B22" s="2">
        <v>46029</v>
      </c>
      <c r="C22" s="1" t="s">
        <v>82</v>
      </c>
      <c r="D22" s="1">
        <v>2</v>
      </c>
    </row>
    <row r="23" spans="1:4" x14ac:dyDescent="0.25">
      <c r="A23" s="1">
        <f t="shared" si="2"/>
        <v>22</v>
      </c>
      <c r="B23" s="2">
        <v>46029</v>
      </c>
      <c r="C23" s="1" t="s">
        <v>651</v>
      </c>
      <c r="D23" s="1">
        <v>2</v>
      </c>
    </row>
    <row r="24" spans="1:4" x14ac:dyDescent="0.25">
      <c r="A24" s="1">
        <f t="shared" si="2"/>
        <v>23</v>
      </c>
      <c r="B24" s="2">
        <v>46073</v>
      </c>
      <c r="C24" s="1" t="s">
        <v>4</v>
      </c>
      <c r="D24" s="1">
        <v>15</v>
      </c>
    </row>
    <row r="25" spans="1:4" x14ac:dyDescent="0.25">
      <c r="A25" s="1">
        <f t="shared" ref="A25:A37" si="3">ROW()-ROW($A$1)</f>
        <v>24</v>
      </c>
      <c r="B25" s="2">
        <v>46118</v>
      </c>
      <c r="C25" s="1" t="s">
        <v>639</v>
      </c>
      <c r="D25" s="1">
        <v>3</v>
      </c>
    </row>
    <row r="26" spans="1:4" x14ac:dyDescent="0.25">
      <c r="A26" s="1">
        <f t="shared" si="3"/>
        <v>25</v>
      </c>
      <c r="B26" s="2">
        <v>46118</v>
      </c>
      <c r="C26" s="1" t="s">
        <v>7</v>
      </c>
      <c r="D26" s="1">
        <v>10</v>
      </c>
    </row>
    <row r="27" spans="1:4" x14ac:dyDescent="0.25">
      <c r="A27" s="1">
        <f t="shared" si="3"/>
        <v>26</v>
      </c>
      <c r="B27" s="2">
        <v>46118</v>
      </c>
      <c r="C27" s="1" t="s">
        <v>651</v>
      </c>
      <c r="D27" s="1">
        <v>5</v>
      </c>
    </row>
    <row r="28" spans="1:4" x14ac:dyDescent="0.25">
      <c r="A28" s="1">
        <f t="shared" si="3"/>
        <v>27</v>
      </c>
      <c r="B28" s="2">
        <v>46118</v>
      </c>
      <c r="C28" s="1" t="s">
        <v>4</v>
      </c>
      <c r="D28" s="1">
        <v>15</v>
      </c>
    </row>
    <row r="29" spans="1:4" x14ac:dyDescent="0.25">
      <c r="A29" s="1">
        <f t="shared" si="3"/>
        <v>28</v>
      </c>
      <c r="B29" s="2">
        <v>46245</v>
      </c>
      <c r="C29" s="1" t="s">
        <v>4</v>
      </c>
      <c r="D29" s="1">
        <v>25</v>
      </c>
    </row>
    <row r="30" spans="1:4" x14ac:dyDescent="0.25">
      <c r="A30" s="1">
        <f t="shared" si="3"/>
        <v>29</v>
      </c>
      <c r="B30" s="2">
        <v>46245</v>
      </c>
      <c r="C30" s="1" t="s">
        <v>635</v>
      </c>
      <c r="D30" s="1">
        <v>3</v>
      </c>
    </row>
    <row r="31" spans="1:4" x14ac:dyDescent="0.25">
      <c r="A31" s="1">
        <f t="shared" si="3"/>
        <v>30</v>
      </c>
      <c r="B31" s="2">
        <v>46245</v>
      </c>
      <c r="C31" s="1" t="s">
        <v>636</v>
      </c>
      <c r="D31" s="1">
        <v>3</v>
      </c>
    </row>
    <row r="32" spans="1:4" x14ac:dyDescent="0.25">
      <c r="A32" s="1">
        <f t="shared" si="3"/>
        <v>31</v>
      </c>
      <c r="B32" s="2">
        <v>46245</v>
      </c>
      <c r="C32" s="1" t="s">
        <v>637</v>
      </c>
      <c r="D32" s="1">
        <v>3</v>
      </c>
    </row>
    <row r="33" spans="1:4" x14ac:dyDescent="0.25">
      <c r="A33" s="1">
        <f t="shared" si="3"/>
        <v>32</v>
      </c>
      <c r="B33" s="2">
        <v>46245</v>
      </c>
      <c r="C33" s="1" t="s">
        <v>638</v>
      </c>
      <c r="D33" s="1">
        <v>3</v>
      </c>
    </row>
    <row r="34" spans="1:4" x14ac:dyDescent="0.25">
      <c r="A34" s="1">
        <f t="shared" si="3"/>
        <v>33</v>
      </c>
      <c r="B34" s="2">
        <v>46245</v>
      </c>
      <c r="C34" s="1" t="s">
        <v>722</v>
      </c>
      <c r="D34" s="1">
        <v>1</v>
      </c>
    </row>
    <row r="35" spans="1:4" x14ac:dyDescent="0.25">
      <c r="A35" s="1">
        <f t="shared" si="3"/>
        <v>34</v>
      </c>
      <c r="B35" s="2">
        <v>46245</v>
      </c>
      <c r="C35" s="1" t="s">
        <v>723</v>
      </c>
      <c r="D35" s="1">
        <v>1</v>
      </c>
    </row>
    <row r="36" spans="1:4" x14ac:dyDescent="0.25">
      <c r="A36" s="1">
        <f t="shared" si="3"/>
        <v>35</v>
      </c>
      <c r="B36" s="2">
        <v>46245</v>
      </c>
      <c r="C36" s="1" t="s">
        <v>724</v>
      </c>
      <c r="D36" s="1">
        <v>1</v>
      </c>
    </row>
    <row r="37" spans="1:4" x14ac:dyDescent="0.25">
      <c r="A37" s="1">
        <f t="shared" si="3"/>
        <v>36</v>
      </c>
      <c r="B37" s="2">
        <v>46245</v>
      </c>
      <c r="C37" s="1" t="s">
        <v>725</v>
      </c>
      <c r="D37" s="1">
        <v>1</v>
      </c>
    </row>
  </sheetData>
  <dataValidations count="1">
    <dataValidation type="list" allowBlank="1" showInputMessage="1" sqref="C2:C37" xr:uid="{F8AFBC55-9E05-4135-B50B-63D1DF9D846E}">
      <formula1>INDIRECT("Con_Rec_Item01[Consumable &amp; Recurring Item]")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E6AA-A00C-4933-A843-5816C58F82F2}">
  <dimension ref="A1:E14"/>
  <sheetViews>
    <sheetView workbookViewId="0">
      <selection activeCell="D8" sqref="D8"/>
    </sheetView>
  </sheetViews>
  <sheetFormatPr defaultRowHeight="15" x14ac:dyDescent="0.25"/>
  <cols>
    <col min="1" max="1" width="11" style="1" bestFit="1" customWidth="1"/>
    <col min="2" max="2" width="45.42578125" style="1" bestFit="1" customWidth="1"/>
    <col min="3" max="3" width="10.5703125" style="1" bestFit="1" customWidth="1"/>
    <col min="4" max="4" width="10.140625" style="1" bestFit="1" customWidth="1"/>
    <col min="5" max="5" width="10.7109375" style="1" bestFit="1" customWidth="1"/>
    <col min="6" max="16384" width="9.140625" style="1"/>
  </cols>
  <sheetData>
    <row r="1" spans="1:5" x14ac:dyDescent="0.25">
      <c r="A1" s="1" t="s">
        <v>41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1">
        <f>ROW()-ROW(Rec_Stock01[[#Headers],[Sr. No]])</f>
        <v>1</v>
      </c>
      <c r="B2" s="1" t="s">
        <v>639</v>
      </c>
      <c r="C2" s="1">
        <f>SUMIF(Rec_ReStock01[Item Name],Rec_Stock01[[#This Row],[Item Name]],Rec_ReStock01[Stock])</f>
        <v>5</v>
      </c>
      <c r="D2" s="1">
        <f>SUMIF(Rec_Record01[Item Make],Rec_Stock01[[#This Row],[Item Name]],Rec_Record01[Qty. Used])</f>
        <v>4</v>
      </c>
      <c r="E2" s="1">
        <f>Rec_Stock01[[#This Row],[Stock]]-Rec_Stock01[[#This Row],[Used]]</f>
        <v>1</v>
      </c>
    </row>
    <row r="3" spans="1:5" x14ac:dyDescent="0.25">
      <c r="A3" s="1">
        <f>ROW()-ROW(Rec_Stock01[[#Headers],[Sr. No]])</f>
        <v>2</v>
      </c>
      <c r="B3" s="1" t="s">
        <v>722</v>
      </c>
      <c r="C3" s="1">
        <f>SUMIF(Rec_ReStock01[Item Name],Rec_Stock01[[#This Row],[Item Name]],Rec_ReStock01[Stock])</f>
        <v>1</v>
      </c>
      <c r="D3" s="1">
        <f>SUMIF(Rec_Record01[Item Make],Rec_Stock01[[#This Row],[Item Name]],Rec_Record01[Qty. Used])</f>
        <v>0</v>
      </c>
      <c r="E3" s="1">
        <f>Rec_Stock01[[#This Row],[Stock]]-Rec_Stock01[[#This Row],[Used]]</f>
        <v>1</v>
      </c>
    </row>
    <row r="4" spans="1:5" x14ac:dyDescent="0.25">
      <c r="A4" s="1">
        <f>ROW()-ROW(Rec_Stock01[[#Headers],[Sr. No]])</f>
        <v>3</v>
      </c>
      <c r="B4" s="1" t="s">
        <v>723</v>
      </c>
      <c r="C4" s="1">
        <f>SUMIF(Rec_ReStock01[Item Name],Rec_Stock01[[#This Row],[Item Name]],Rec_ReStock01[Stock])</f>
        <v>1</v>
      </c>
      <c r="D4" s="1">
        <f>SUMIF(Rec_Record01[Item Make],Rec_Stock01[[#This Row],[Item Name]],Rec_Record01[Qty. Used])</f>
        <v>0</v>
      </c>
      <c r="E4" s="1">
        <f>Rec_Stock01[[#This Row],[Stock]]-Rec_Stock01[[#This Row],[Used]]</f>
        <v>1</v>
      </c>
    </row>
    <row r="5" spans="1:5" x14ac:dyDescent="0.25">
      <c r="A5" s="1">
        <f>ROW()-ROW(Rec_Stock01[[#Headers],[Sr. No]])</f>
        <v>4</v>
      </c>
      <c r="B5" s="1" t="s">
        <v>724</v>
      </c>
      <c r="C5" s="1">
        <f>SUMIF(Rec_ReStock01[Item Name],Rec_Stock01[[#This Row],[Item Name]],Rec_ReStock01[Stock])</f>
        <v>1</v>
      </c>
      <c r="D5" s="1">
        <f>SUMIF(Rec_Record01[Item Make],Rec_Stock01[[#This Row],[Item Name]],Rec_Record01[Qty. Used])</f>
        <v>0</v>
      </c>
      <c r="E5" s="1">
        <f>Rec_Stock01[[#This Row],[Stock]]-Rec_Stock01[[#This Row],[Used]]</f>
        <v>1</v>
      </c>
    </row>
    <row r="6" spans="1:5" x14ac:dyDescent="0.25">
      <c r="A6" s="1">
        <f>ROW()-ROW(Rec_Stock01[[#Headers],[Sr. No]])</f>
        <v>5</v>
      </c>
      <c r="B6" s="1" t="s">
        <v>725</v>
      </c>
      <c r="C6" s="1">
        <f>SUMIF(Rec_ReStock01[Item Name],Rec_Stock01[[#This Row],[Item Name]],Rec_ReStock01[Stock])</f>
        <v>1</v>
      </c>
      <c r="D6" s="1">
        <f>SUMIF(Rec_Record01[Item Make],Rec_Stock01[[#This Row],[Item Name]],Rec_Record01[Qty. Used])</f>
        <v>0</v>
      </c>
      <c r="E6" s="1">
        <f>Rec_Stock01[[#This Row],[Stock]]-Rec_Stock01[[#This Row],[Used]]</f>
        <v>1</v>
      </c>
    </row>
    <row r="7" spans="1:5" x14ac:dyDescent="0.25">
      <c r="A7" s="1">
        <f>ROW()-ROW(Rec_Stock01[[#Headers],[Sr. No]])</f>
        <v>6</v>
      </c>
      <c r="B7" s="1" t="s">
        <v>82</v>
      </c>
      <c r="C7" s="1">
        <f>SUMIF(Rec_ReStock01[Item Name],Rec_Stock01[[#This Row],[Item Name]],Rec_ReStock01[Stock])</f>
        <v>4</v>
      </c>
      <c r="D7" s="1">
        <f>SUMIF(Rec_Record01[Item Make],Rec_Stock01[[#This Row],[Item Name]],Rec_Record01[Qty. Used])</f>
        <v>3</v>
      </c>
      <c r="E7" s="1">
        <f>Rec_Stock01[[#This Row],[Stock]]-Rec_Stock01[[#This Row],[Used]]</f>
        <v>1</v>
      </c>
    </row>
    <row r="8" spans="1:5" x14ac:dyDescent="0.25">
      <c r="A8" s="1">
        <f>ROW()-ROW(Rec_Stock01[[#Headers],[Sr. No]])</f>
        <v>7</v>
      </c>
      <c r="B8" s="1" t="s">
        <v>635</v>
      </c>
      <c r="C8" s="1">
        <f>SUMIF(Rec_ReStock01[Item Name],Rec_Stock01[[#This Row],[Item Name]],Rec_ReStock01[Stock])</f>
        <v>4</v>
      </c>
      <c r="D8" s="1">
        <f>SUMIF(Rec_Record01[Item Make],Rec_Stock01[[#This Row],[Item Name]],Rec_Record01[Qty. Used])</f>
        <v>1</v>
      </c>
      <c r="E8" s="1">
        <f>Rec_Stock01[[#This Row],[Stock]]-Rec_Stock01[[#This Row],[Used]]</f>
        <v>3</v>
      </c>
    </row>
    <row r="9" spans="1:5" x14ac:dyDescent="0.25">
      <c r="A9" s="1">
        <f>ROW()-ROW(Rec_Stock01[[#Headers],[Sr. No]])</f>
        <v>8</v>
      </c>
      <c r="B9" s="1" t="s">
        <v>636</v>
      </c>
      <c r="C9" s="1">
        <f>SUMIF(Rec_ReStock01[Item Name],Rec_Stock01[[#This Row],[Item Name]],Rec_ReStock01[Stock])</f>
        <v>4</v>
      </c>
      <c r="D9" s="1">
        <f>SUMIF(Rec_Record01[Item Make],Rec_Stock01[[#This Row],[Item Name]],Rec_Record01[Qty. Used])</f>
        <v>1</v>
      </c>
      <c r="E9" s="1">
        <f>Rec_Stock01[[#This Row],[Stock]]-Rec_Stock01[[#This Row],[Used]]</f>
        <v>3</v>
      </c>
    </row>
    <row r="10" spans="1:5" x14ac:dyDescent="0.25">
      <c r="A10" s="1">
        <f>ROW()-ROW(Rec_Stock01[[#Headers],[Sr. No]])</f>
        <v>9</v>
      </c>
      <c r="B10" s="1" t="s">
        <v>637</v>
      </c>
      <c r="C10" s="1">
        <f>SUMIF(Rec_ReStock01[Item Name],Rec_Stock01[[#This Row],[Item Name]],Rec_ReStock01[Stock])</f>
        <v>4</v>
      </c>
      <c r="D10" s="1">
        <f>SUMIF(Rec_Record01[Item Make],Rec_Stock01[[#This Row],[Item Name]],Rec_Record01[Qty. Used])</f>
        <v>1</v>
      </c>
      <c r="E10" s="1">
        <f>Rec_Stock01[[#This Row],[Stock]]-Rec_Stock01[[#This Row],[Used]]</f>
        <v>3</v>
      </c>
    </row>
    <row r="11" spans="1:5" x14ac:dyDescent="0.25">
      <c r="A11" s="1">
        <f>ROW()-ROW(Rec_Stock01[[#Headers],[Sr. No]])</f>
        <v>10</v>
      </c>
      <c r="B11" s="1" t="s">
        <v>638</v>
      </c>
      <c r="C11" s="1">
        <f>SUMIF(Rec_ReStock01[Item Name],Rec_Stock01[[#This Row],[Item Name]],Rec_ReStock01[Stock])</f>
        <v>4</v>
      </c>
      <c r="D11" s="1">
        <f>SUMIF(Rec_Record01[Item Make],Rec_Stock01[[#This Row],[Item Name]],Rec_Record01[Qty. Used])</f>
        <v>1</v>
      </c>
      <c r="E11" s="1">
        <f>Rec_Stock01[[#This Row],[Stock]]-Rec_Stock01[[#This Row],[Used]]</f>
        <v>3</v>
      </c>
    </row>
    <row r="12" spans="1:5" x14ac:dyDescent="0.25">
      <c r="A12" s="1">
        <f>ROW()-ROW(Rec_Stock01[[#Headers],[Sr. No]])</f>
        <v>11</v>
      </c>
      <c r="B12" s="1" t="s">
        <v>7</v>
      </c>
      <c r="C12" s="1">
        <f>SUMIF(Rec_ReStock01[Item Name],Rec_Stock01[[#This Row],[Item Name]],Rec_ReStock01[Stock])</f>
        <v>25</v>
      </c>
      <c r="D12" s="1">
        <f>SUMIF(Rec_Record01[Item Make],Rec_Stock01[[#This Row],[Item Name]],Rec_Record01[Qty. Used])</f>
        <v>25</v>
      </c>
      <c r="E12" s="1">
        <f>Rec_Stock01[[#This Row],[Stock]]-Rec_Stock01[[#This Row],[Used]]</f>
        <v>0</v>
      </c>
    </row>
    <row r="13" spans="1:5" x14ac:dyDescent="0.25">
      <c r="A13" s="1">
        <f>ROW()-ROW(Rec_Stock01[[#Headers],[Sr. No]])</f>
        <v>12</v>
      </c>
      <c r="B13" s="1" t="s">
        <v>651</v>
      </c>
      <c r="C13" s="1">
        <f>SUMIF(Rec_ReStock01[Item Name],Rec_Stock01[[#This Row],[Item Name]],Rec_ReStock01[Stock])</f>
        <v>9</v>
      </c>
      <c r="D13" s="1">
        <f>SUMIF(Rec_Record01[Item Make],Rec_Stock01[[#This Row],[Item Name]],Rec_Record01[Qty. Used])</f>
        <v>7</v>
      </c>
      <c r="E13" s="1">
        <f>Rec_Stock01[[#This Row],[Stock]]-Rec_Stock01[[#This Row],[Used]]</f>
        <v>2</v>
      </c>
    </row>
    <row r="14" spans="1:5" x14ac:dyDescent="0.25">
      <c r="A14" s="1">
        <f>ROW()-ROW(Rec_Stock01[[#Headers],[Sr. No]])</f>
        <v>13</v>
      </c>
      <c r="B14" s="1" t="s">
        <v>4</v>
      </c>
      <c r="C14" s="1">
        <f>SUMIF(Rec_ReStock01[Item Name],Rec_Stock01[[#This Row],[Item Name]],Rec_ReStock01[Stock])</f>
        <v>145</v>
      </c>
      <c r="D14" s="1">
        <f>SUMIF(Rec_Record01[Item Make],Rec_Stock01[[#This Row],[Item Name]],Rec_Record01[Qty. Used])</f>
        <v>137</v>
      </c>
      <c r="E14" s="1">
        <f>Rec_Stock01[[#This Row],[Stock]]-Rec_Stock01[[#This Row],[Used]]</f>
        <v>8</v>
      </c>
    </row>
  </sheetData>
  <dataValidations count="1">
    <dataValidation type="list" allowBlank="1" showInputMessage="1" sqref="B2:B14" xr:uid="{A943A9FF-9EA2-4FB6-BBF1-0606A4F8F354}">
      <formula1>INDIRECT("Con_Rec_Item01[Consumable &amp; Recurring Item]")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63CD-9DFA-4AB2-BF1E-2F39DF3ACDCE}">
  <dimension ref="A1:F96"/>
  <sheetViews>
    <sheetView tabSelected="1" workbookViewId="0">
      <pane xSplit="1" ySplit="1" topLeftCell="B63" activePane="bottomRight" state="frozen"/>
      <selection pane="topRight" activeCell="B1" sqref="B1"/>
      <selection pane="bottomLeft" activeCell="A2" sqref="A2"/>
      <selection pane="bottomRight" activeCell="F86" activeCellId="2" sqref="F71 F74:F83 F86:F95"/>
    </sheetView>
  </sheetViews>
  <sheetFormatPr defaultRowHeight="15" x14ac:dyDescent="0.25"/>
  <cols>
    <col min="1" max="1" width="11.5703125" style="1" bestFit="1" customWidth="1"/>
    <col min="2" max="2" width="18.5703125" style="1" bestFit="1" customWidth="1"/>
    <col min="3" max="3" width="17.7109375" style="1" bestFit="1" customWidth="1"/>
    <col min="4" max="4" width="34" style="1" bestFit="1" customWidth="1"/>
    <col min="5" max="5" width="45.42578125" style="1" bestFit="1" customWidth="1"/>
    <col min="6" max="6" width="14.28515625" style="1" bestFit="1" customWidth="1"/>
    <col min="7" max="16384" width="9.140625" style="1"/>
  </cols>
  <sheetData>
    <row r="1" spans="1:6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 x14ac:dyDescent="0.25">
      <c r="A2" s="1">
        <f t="shared" ref="A2:A33" si="0">ROW()-ROW($A$1)</f>
        <v>1</v>
      </c>
      <c r="B2" s="5" t="s">
        <v>53</v>
      </c>
      <c r="D2" s="1" t="s">
        <v>36</v>
      </c>
      <c r="E2" s="1" t="s">
        <v>4</v>
      </c>
      <c r="F2" s="1">
        <v>4</v>
      </c>
    </row>
    <row r="3" spans="1:6" x14ac:dyDescent="0.25">
      <c r="A3" s="1">
        <f t="shared" si="0"/>
        <v>2</v>
      </c>
      <c r="B3" s="5" t="s">
        <v>53</v>
      </c>
      <c r="D3" s="1" t="s">
        <v>19</v>
      </c>
      <c r="E3" s="1" t="s">
        <v>4</v>
      </c>
      <c r="F3" s="1">
        <v>2</v>
      </c>
    </row>
    <row r="4" spans="1:6" x14ac:dyDescent="0.25">
      <c r="A4" s="1">
        <f t="shared" si="0"/>
        <v>3</v>
      </c>
      <c r="B4" s="5">
        <v>45505</v>
      </c>
      <c r="D4" s="1" t="s">
        <v>54</v>
      </c>
      <c r="E4" s="1" t="s">
        <v>4</v>
      </c>
      <c r="F4" s="1">
        <v>1</v>
      </c>
    </row>
    <row r="5" spans="1:6" x14ac:dyDescent="0.25">
      <c r="A5" s="1">
        <f t="shared" si="0"/>
        <v>4</v>
      </c>
      <c r="B5" s="5">
        <v>45505</v>
      </c>
      <c r="D5" s="1" t="s">
        <v>20</v>
      </c>
      <c r="E5" s="1" t="s">
        <v>4</v>
      </c>
      <c r="F5" s="1">
        <v>1</v>
      </c>
    </row>
    <row r="6" spans="1:6" x14ac:dyDescent="0.25">
      <c r="A6" s="1">
        <f t="shared" si="0"/>
        <v>5</v>
      </c>
      <c r="B6" s="5">
        <v>45516</v>
      </c>
      <c r="D6" s="1" t="s">
        <v>19</v>
      </c>
      <c r="E6" s="1" t="s">
        <v>4</v>
      </c>
      <c r="F6" s="1">
        <v>1</v>
      </c>
    </row>
    <row r="7" spans="1:6" x14ac:dyDescent="0.25">
      <c r="A7" s="1">
        <f t="shared" si="0"/>
        <v>6</v>
      </c>
      <c r="B7" s="5" t="s">
        <v>55</v>
      </c>
      <c r="D7" s="1" t="s">
        <v>40</v>
      </c>
      <c r="E7" s="1" t="s">
        <v>4</v>
      </c>
      <c r="F7" s="1">
        <v>1</v>
      </c>
    </row>
    <row r="8" spans="1:6" x14ac:dyDescent="0.25">
      <c r="A8" s="1">
        <f t="shared" si="0"/>
        <v>7</v>
      </c>
      <c r="B8" s="5">
        <v>45551</v>
      </c>
      <c r="D8" s="1" t="s">
        <v>56</v>
      </c>
      <c r="E8" s="1" t="s">
        <v>4</v>
      </c>
      <c r="F8" s="1">
        <v>1</v>
      </c>
    </row>
    <row r="9" spans="1:6" x14ac:dyDescent="0.25">
      <c r="A9" s="1">
        <f t="shared" si="0"/>
        <v>8</v>
      </c>
      <c r="B9" s="5">
        <v>45560</v>
      </c>
      <c r="D9" s="1" t="s">
        <v>36</v>
      </c>
      <c r="E9" s="1" t="s">
        <v>4</v>
      </c>
      <c r="F9" s="1">
        <v>3</v>
      </c>
    </row>
    <row r="10" spans="1:6" x14ac:dyDescent="0.25">
      <c r="A10" s="1">
        <f t="shared" si="0"/>
        <v>9</v>
      </c>
      <c r="B10" s="5">
        <v>45602</v>
      </c>
      <c r="D10" s="1" t="s">
        <v>57</v>
      </c>
      <c r="E10" s="1" t="s">
        <v>4</v>
      </c>
      <c r="F10" s="1">
        <v>1</v>
      </c>
    </row>
    <row r="11" spans="1:6" x14ac:dyDescent="0.25">
      <c r="A11" s="1">
        <f t="shared" si="0"/>
        <v>10</v>
      </c>
      <c r="B11" s="5">
        <v>45604</v>
      </c>
      <c r="D11" s="1" t="s">
        <v>36</v>
      </c>
      <c r="E11" s="1" t="s">
        <v>4</v>
      </c>
      <c r="F11" s="1">
        <v>6</v>
      </c>
    </row>
    <row r="12" spans="1:6" x14ac:dyDescent="0.25">
      <c r="A12" s="1">
        <f t="shared" si="0"/>
        <v>11</v>
      </c>
      <c r="B12" s="5">
        <v>45604</v>
      </c>
      <c r="D12" s="1" t="s">
        <v>40</v>
      </c>
      <c r="E12" s="1" t="s">
        <v>4</v>
      </c>
      <c r="F12" s="1">
        <v>1</v>
      </c>
    </row>
    <row r="13" spans="1:6" x14ac:dyDescent="0.25">
      <c r="A13" s="1">
        <f t="shared" si="0"/>
        <v>12</v>
      </c>
      <c r="B13" s="5">
        <v>45604</v>
      </c>
      <c r="D13" s="1" t="s">
        <v>19</v>
      </c>
      <c r="E13" s="1" t="s">
        <v>4</v>
      </c>
      <c r="F13" s="1">
        <v>2</v>
      </c>
    </row>
    <row r="14" spans="1:6" x14ac:dyDescent="0.25">
      <c r="A14" s="1">
        <f t="shared" si="0"/>
        <v>13</v>
      </c>
      <c r="B14" s="5">
        <v>45637</v>
      </c>
      <c r="D14" s="1" t="s">
        <v>57</v>
      </c>
      <c r="E14" s="1" t="s">
        <v>4</v>
      </c>
      <c r="F14" s="1">
        <v>1</v>
      </c>
    </row>
    <row r="15" spans="1:6" x14ac:dyDescent="0.25">
      <c r="A15" s="1">
        <f t="shared" si="0"/>
        <v>14</v>
      </c>
      <c r="B15" s="5">
        <v>45669</v>
      </c>
      <c r="D15" s="1" t="s">
        <v>40</v>
      </c>
      <c r="E15" s="1" t="s">
        <v>4</v>
      </c>
      <c r="F15" s="1">
        <v>1</v>
      </c>
    </row>
    <row r="16" spans="1:6" x14ac:dyDescent="0.25">
      <c r="A16" s="1">
        <f t="shared" si="0"/>
        <v>15</v>
      </c>
      <c r="B16" s="5">
        <v>45671</v>
      </c>
      <c r="D16" s="1" t="s">
        <v>19</v>
      </c>
      <c r="E16" s="1" t="s">
        <v>4</v>
      </c>
      <c r="F16" s="1">
        <v>1</v>
      </c>
    </row>
    <row r="17" spans="1:6" x14ac:dyDescent="0.25">
      <c r="A17" s="1">
        <f t="shared" si="0"/>
        <v>16</v>
      </c>
      <c r="B17" s="5">
        <v>45671</v>
      </c>
      <c r="D17" s="1" t="s">
        <v>36</v>
      </c>
      <c r="E17" s="1" t="s">
        <v>4</v>
      </c>
      <c r="F17" s="1">
        <v>2</v>
      </c>
    </row>
    <row r="18" spans="1:6" x14ac:dyDescent="0.25">
      <c r="A18" s="1">
        <f t="shared" si="0"/>
        <v>17</v>
      </c>
      <c r="B18" s="5">
        <v>45677</v>
      </c>
      <c r="D18" s="1" t="s">
        <v>20</v>
      </c>
      <c r="E18" s="1" t="s">
        <v>4</v>
      </c>
      <c r="F18" s="1">
        <v>1</v>
      </c>
    </row>
    <row r="19" spans="1:6" x14ac:dyDescent="0.25">
      <c r="A19" s="1">
        <f t="shared" si="0"/>
        <v>18</v>
      </c>
      <c r="B19" s="5">
        <v>45698</v>
      </c>
      <c r="D19" s="1" t="s">
        <v>36</v>
      </c>
      <c r="E19" s="1" t="s">
        <v>4</v>
      </c>
      <c r="F19" s="1">
        <v>5</v>
      </c>
    </row>
    <row r="20" spans="1:6" x14ac:dyDescent="0.25">
      <c r="A20" s="1">
        <f t="shared" si="0"/>
        <v>19</v>
      </c>
      <c r="B20" s="5">
        <v>45702</v>
      </c>
      <c r="D20" s="1" t="s">
        <v>19</v>
      </c>
      <c r="E20" s="1" t="s">
        <v>4</v>
      </c>
      <c r="F20" s="1">
        <v>1</v>
      </c>
    </row>
    <row r="21" spans="1:6" x14ac:dyDescent="0.25">
      <c r="A21" s="1">
        <f t="shared" si="0"/>
        <v>20</v>
      </c>
      <c r="B21" s="5">
        <v>45714</v>
      </c>
      <c r="D21" s="1" t="s">
        <v>40</v>
      </c>
      <c r="E21" s="1" t="s">
        <v>4</v>
      </c>
      <c r="F21" s="1">
        <v>1</v>
      </c>
    </row>
    <row r="22" spans="1:6" x14ac:dyDescent="0.25">
      <c r="A22" s="1">
        <f t="shared" si="0"/>
        <v>21</v>
      </c>
      <c r="B22" s="5">
        <v>45727</v>
      </c>
      <c r="D22" s="1" t="s">
        <v>56</v>
      </c>
      <c r="E22" s="1" t="s">
        <v>4</v>
      </c>
      <c r="F22" s="1">
        <v>1</v>
      </c>
    </row>
    <row r="23" spans="1:6" x14ac:dyDescent="0.25">
      <c r="A23" s="1">
        <f t="shared" si="0"/>
        <v>22</v>
      </c>
      <c r="B23" s="5">
        <v>45729</v>
      </c>
      <c r="D23" s="1" t="s">
        <v>19</v>
      </c>
      <c r="E23" s="1" t="s">
        <v>4</v>
      </c>
      <c r="F23" s="1">
        <v>2</v>
      </c>
    </row>
    <row r="24" spans="1:6" x14ac:dyDescent="0.25">
      <c r="A24" s="1">
        <f t="shared" si="0"/>
        <v>23</v>
      </c>
      <c r="B24" s="5">
        <v>45731</v>
      </c>
      <c r="D24" s="1" t="s">
        <v>57</v>
      </c>
      <c r="E24" s="1" t="s">
        <v>4</v>
      </c>
      <c r="F24" s="1">
        <v>1</v>
      </c>
    </row>
    <row r="25" spans="1:6" x14ac:dyDescent="0.25">
      <c r="A25" s="1">
        <f t="shared" si="0"/>
        <v>24</v>
      </c>
      <c r="B25" s="5">
        <v>45731</v>
      </c>
      <c r="D25" s="1" t="s">
        <v>20</v>
      </c>
      <c r="E25" s="1" t="s">
        <v>4</v>
      </c>
      <c r="F25" s="1">
        <v>2</v>
      </c>
    </row>
    <row r="26" spans="1:6" x14ac:dyDescent="0.25">
      <c r="A26" s="1">
        <f t="shared" si="0"/>
        <v>25</v>
      </c>
      <c r="B26" s="5">
        <v>45755</v>
      </c>
      <c r="D26" s="1" t="s">
        <v>36</v>
      </c>
      <c r="E26" s="1" t="s">
        <v>4</v>
      </c>
      <c r="F26" s="1">
        <v>1</v>
      </c>
    </row>
    <row r="27" spans="1:6" x14ac:dyDescent="0.25">
      <c r="A27" s="1">
        <f t="shared" si="0"/>
        <v>26</v>
      </c>
      <c r="B27" s="5">
        <v>45759</v>
      </c>
      <c r="D27" s="1" t="s">
        <v>40</v>
      </c>
      <c r="E27" s="1" t="s">
        <v>4</v>
      </c>
      <c r="F27" s="1">
        <v>1</v>
      </c>
    </row>
    <row r="28" spans="1:6" x14ac:dyDescent="0.25">
      <c r="A28" s="1">
        <f t="shared" si="0"/>
        <v>27</v>
      </c>
      <c r="B28" s="5">
        <v>45763</v>
      </c>
      <c r="D28" s="1" t="s">
        <v>37</v>
      </c>
      <c r="E28" s="1" t="s">
        <v>7</v>
      </c>
      <c r="F28" s="1">
        <v>15</v>
      </c>
    </row>
    <row r="29" spans="1:6" x14ac:dyDescent="0.25">
      <c r="A29" s="1">
        <f t="shared" si="0"/>
        <v>28</v>
      </c>
      <c r="B29" s="5">
        <v>45777</v>
      </c>
      <c r="D29" s="1" t="s">
        <v>36</v>
      </c>
      <c r="E29" s="1" t="s">
        <v>4</v>
      </c>
      <c r="F29" s="1">
        <v>5</v>
      </c>
    </row>
    <row r="30" spans="1:6" x14ac:dyDescent="0.25">
      <c r="A30" s="1">
        <f t="shared" si="0"/>
        <v>29</v>
      </c>
      <c r="B30" s="5">
        <v>45793</v>
      </c>
      <c r="D30" s="1" t="s">
        <v>35</v>
      </c>
      <c r="E30" s="1" t="s">
        <v>82</v>
      </c>
      <c r="F30" s="1">
        <v>1</v>
      </c>
    </row>
    <row r="31" spans="1:6" x14ac:dyDescent="0.25">
      <c r="A31" s="1">
        <f t="shared" si="0"/>
        <v>30</v>
      </c>
      <c r="B31" s="5">
        <v>45817</v>
      </c>
      <c r="D31" s="1" t="s">
        <v>19</v>
      </c>
      <c r="E31" s="1" t="s">
        <v>4</v>
      </c>
      <c r="F31" s="1">
        <v>1</v>
      </c>
    </row>
    <row r="32" spans="1:6" x14ac:dyDescent="0.25">
      <c r="A32" s="1">
        <f t="shared" si="0"/>
        <v>31</v>
      </c>
      <c r="B32" s="5">
        <v>45820</v>
      </c>
      <c r="D32" s="1" t="s">
        <v>57</v>
      </c>
      <c r="E32" s="1" t="s">
        <v>4</v>
      </c>
      <c r="F32" s="1">
        <v>1</v>
      </c>
    </row>
    <row r="33" spans="1:6" x14ac:dyDescent="0.25">
      <c r="A33" s="1">
        <f t="shared" si="0"/>
        <v>32</v>
      </c>
      <c r="B33" s="5">
        <v>45841</v>
      </c>
      <c r="D33" s="1" t="s">
        <v>20</v>
      </c>
      <c r="E33" s="1" t="s">
        <v>4</v>
      </c>
      <c r="F33" s="1">
        <v>1</v>
      </c>
    </row>
    <row r="34" spans="1:6" x14ac:dyDescent="0.25">
      <c r="A34" s="1">
        <f t="shared" ref="A34:A67" si="1">ROW()-ROW($A$1)</f>
        <v>33</v>
      </c>
      <c r="B34" s="5">
        <v>45856</v>
      </c>
      <c r="D34" s="1" t="s">
        <v>40</v>
      </c>
      <c r="E34" s="1" t="s">
        <v>4</v>
      </c>
      <c r="F34" s="1">
        <v>1</v>
      </c>
    </row>
    <row r="35" spans="1:6" x14ac:dyDescent="0.25">
      <c r="A35" s="1">
        <f t="shared" si="1"/>
        <v>34</v>
      </c>
      <c r="B35" s="5">
        <v>45866</v>
      </c>
      <c r="D35" s="1" t="s">
        <v>57</v>
      </c>
      <c r="E35" s="1" t="s">
        <v>4</v>
      </c>
      <c r="F35" s="1">
        <v>1</v>
      </c>
    </row>
    <row r="36" spans="1:6" x14ac:dyDescent="0.25">
      <c r="A36" s="1">
        <f t="shared" si="1"/>
        <v>35</v>
      </c>
      <c r="B36" s="5">
        <v>45867</v>
      </c>
      <c r="D36" s="1" t="s">
        <v>19</v>
      </c>
      <c r="E36" s="1" t="s">
        <v>4</v>
      </c>
      <c r="F36" s="1">
        <v>1</v>
      </c>
    </row>
    <row r="37" spans="1:6" x14ac:dyDescent="0.25">
      <c r="A37" s="1">
        <f t="shared" si="1"/>
        <v>36</v>
      </c>
      <c r="B37" s="5">
        <v>45887</v>
      </c>
      <c r="D37" s="1" t="s">
        <v>36</v>
      </c>
      <c r="E37" s="1" t="s">
        <v>4</v>
      </c>
      <c r="F37" s="1">
        <v>5</v>
      </c>
    </row>
    <row r="38" spans="1:6" x14ac:dyDescent="0.25">
      <c r="A38" s="1">
        <f t="shared" si="1"/>
        <v>37</v>
      </c>
      <c r="B38" s="5">
        <v>45888</v>
      </c>
      <c r="D38" s="1" t="s">
        <v>40</v>
      </c>
      <c r="E38" s="1" t="s">
        <v>4</v>
      </c>
      <c r="F38" s="1">
        <v>1</v>
      </c>
    </row>
    <row r="39" spans="1:6" x14ac:dyDescent="0.25">
      <c r="A39" s="1">
        <f t="shared" si="1"/>
        <v>38</v>
      </c>
      <c r="B39" s="5">
        <v>45889</v>
      </c>
      <c r="D39" s="1" t="s">
        <v>3</v>
      </c>
      <c r="E39" s="1" t="s">
        <v>4</v>
      </c>
      <c r="F39" s="1">
        <v>1</v>
      </c>
    </row>
    <row r="40" spans="1:6" x14ac:dyDescent="0.25">
      <c r="A40" s="1">
        <f t="shared" si="1"/>
        <v>39</v>
      </c>
      <c r="B40" s="5">
        <v>45889</v>
      </c>
      <c r="D40" s="1" t="s">
        <v>17</v>
      </c>
      <c r="E40" s="1" t="s">
        <v>639</v>
      </c>
      <c r="F40" s="1">
        <v>1</v>
      </c>
    </row>
    <row r="41" spans="1:6" x14ac:dyDescent="0.25">
      <c r="A41" s="1">
        <f t="shared" si="1"/>
        <v>40</v>
      </c>
      <c r="B41" s="5">
        <v>45898</v>
      </c>
      <c r="D41" s="1" t="s">
        <v>20</v>
      </c>
      <c r="E41" s="1" t="s">
        <v>4</v>
      </c>
      <c r="F41" s="1">
        <v>2</v>
      </c>
    </row>
    <row r="42" spans="1:6" x14ac:dyDescent="0.25">
      <c r="A42" s="1">
        <f t="shared" si="1"/>
        <v>41</v>
      </c>
      <c r="B42" s="5">
        <v>45917</v>
      </c>
      <c r="D42" s="1" t="s">
        <v>3</v>
      </c>
      <c r="E42" s="1" t="s">
        <v>4</v>
      </c>
      <c r="F42" s="1">
        <v>1</v>
      </c>
    </row>
    <row r="43" spans="1:6" x14ac:dyDescent="0.25">
      <c r="A43" s="1">
        <f t="shared" si="1"/>
        <v>42</v>
      </c>
      <c r="B43" s="5">
        <v>45950</v>
      </c>
      <c r="D43" s="1" t="s">
        <v>35</v>
      </c>
      <c r="E43" s="1" t="s">
        <v>82</v>
      </c>
      <c r="F43" s="1">
        <v>1</v>
      </c>
    </row>
    <row r="44" spans="1:6" x14ac:dyDescent="0.25">
      <c r="A44" s="1">
        <f t="shared" si="1"/>
        <v>43</v>
      </c>
      <c r="B44" s="5">
        <v>45951</v>
      </c>
      <c r="D44" s="1" t="s">
        <v>36</v>
      </c>
      <c r="E44" s="1" t="s">
        <v>4</v>
      </c>
      <c r="F44" s="1">
        <v>6</v>
      </c>
    </row>
    <row r="45" spans="1:6" x14ac:dyDescent="0.25">
      <c r="A45" s="1">
        <f t="shared" si="1"/>
        <v>44</v>
      </c>
      <c r="B45" s="5">
        <v>45951</v>
      </c>
      <c r="D45" s="1" t="s">
        <v>38</v>
      </c>
      <c r="E45" s="1" t="s">
        <v>4</v>
      </c>
      <c r="F45" s="1">
        <v>1</v>
      </c>
    </row>
    <row r="46" spans="1:6" x14ac:dyDescent="0.25">
      <c r="A46" s="1">
        <f t="shared" si="1"/>
        <v>45</v>
      </c>
      <c r="B46" s="5">
        <v>45951</v>
      </c>
      <c r="D46" s="1" t="s">
        <v>57</v>
      </c>
      <c r="E46" s="1" t="s">
        <v>4</v>
      </c>
      <c r="F46" s="1">
        <v>1</v>
      </c>
    </row>
    <row r="47" spans="1:6" x14ac:dyDescent="0.25">
      <c r="A47" s="1">
        <f t="shared" si="1"/>
        <v>46</v>
      </c>
      <c r="B47" s="5">
        <v>45953</v>
      </c>
      <c r="D47" s="1" t="s">
        <v>14</v>
      </c>
      <c r="E47" s="1" t="s">
        <v>4</v>
      </c>
      <c r="F47" s="1">
        <v>1</v>
      </c>
    </row>
    <row r="48" spans="1:6" x14ac:dyDescent="0.25">
      <c r="A48" s="1">
        <f t="shared" si="1"/>
        <v>47</v>
      </c>
      <c r="B48" s="5">
        <v>45953</v>
      </c>
      <c r="D48" s="1" t="s">
        <v>650</v>
      </c>
      <c r="E48" s="1" t="s">
        <v>635</v>
      </c>
      <c r="F48" s="1">
        <v>1</v>
      </c>
    </row>
    <row r="49" spans="1:6" x14ac:dyDescent="0.25">
      <c r="A49" s="1">
        <f>ROW()-ROW($A$1)</f>
        <v>48</v>
      </c>
      <c r="B49" s="5">
        <v>45953</v>
      </c>
      <c r="D49" s="1" t="s">
        <v>650</v>
      </c>
      <c r="E49" s="1" t="s">
        <v>636</v>
      </c>
      <c r="F49" s="1">
        <v>1</v>
      </c>
    </row>
    <row r="50" spans="1:6" x14ac:dyDescent="0.25">
      <c r="A50" s="1">
        <f>ROW()-ROW($A$1)</f>
        <v>49</v>
      </c>
      <c r="B50" s="5">
        <v>45953</v>
      </c>
      <c r="D50" s="1" t="s">
        <v>650</v>
      </c>
      <c r="E50" s="1" t="s">
        <v>637</v>
      </c>
      <c r="F50" s="1">
        <v>1</v>
      </c>
    </row>
    <row r="51" spans="1:6" x14ac:dyDescent="0.25">
      <c r="A51" s="1">
        <f>ROW()-ROW($A$1)</f>
        <v>50</v>
      </c>
      <c r="B51" s="5">
        <v>45953</v>
      </c>
      <c r="D51" s="1" t="s">
        <v>650</v>
      </c>
      <c r="E51" s="1" t="s">
        <v>638</v>
      </c>
      <c r="F51" s="1">
        <v>1</v>
      </c>
    </row>
    <row r="52" spans="1:6" x14ac:dyDescent="0.25">
      <c r="A52" s="1">
        <f t="shared" si="1"/>
        <v>51</v>
      </c>
      <c r="B52" s="5">
        <v>45972</v>
      </c>
      <c r="D52" s="1" t="s">
        <v>40</v>
      </c>
      <c r="E52" s="1" t="s">
        <v>4</v>
      </c>
      <c r="F52" s="1">
        <v>1</v>
      </c>
    </row>
    <row r="53" spans="1:6" x14ac:dyDescent="0.25">
      <c r="A53" s="1">
        <f t="shared" si="1"/>
        <v>52</v>
      </c>
      <c r="B53" s="5">
        <v>45972</v>
      </c>
      <c r="D53" s="1" t="s">
        <v>38</v>
      </c>
      <c r="E53" s="1" t="s">
        <v>4</v>
      </c>
      <c r="F53" s="1">
        <v>2</v>
      </c>
    </row>
    <row r="54" spans="1:6" x14ac:dyDescent="0.25">
      <c r="A54" s="1">
        <f t="shared" si="1"/>
        <v>53</v>
      </c>
      <c r="B54" s="5">
        <v>45975</v>
      </c>
      <c r="D54" s="1" t="s">
        <v>14</v>
      </c>
      <c r="E54" s="1" t="s">
        <v>4</v>
      </c>
      <c r="F54" s="1">
        <v>2</v>
      </c>
    </row>
    <row r="55" spans="1:6" x14ac:dyDescent="0.25">
      <c r="A55" s="1">
        <f t="shared" si="1"/>
        <v>54</v>
      </c>
      <c r="B55" s="5">
        <v>45978</v>
      </c>
      <c r="D55" s="1" t="s">
        <v>17</v>
      </c>
      <c r="E55" s="1" t="s">
        <v>639</v>
      </c>
      <c r="F55" s="1">
        <v>1</v>
      </c>
    </row>
    <row r="56" spans="1:6" x14ac:dyDescent="0.25">
      <c r="A56" s="1">
        <f t="shared" si="1"/>
        <v>55</v>
      </c>
      <c r="B56" s="5">
        <v>45982</v>
      </c>
      <c r="D56" s="1" t="s">
        <v>6</v>
      </c>
      <c r="E56" s="1" t="s">
        <v>651</v>
      </c>
      <c r="F56" s="1">
        <v>1</v>
      </c>
    </row>
    <row r="57" spans="1:6" x14ac:dyDescent="0.25">
      <c r="A57" s="1">
        <f t="shared" si="1"/>
        <v>56</v>
      </c>
      <c r="B57" s="5">
        <v>45997</v>
      </c>
      <c r="D57" s="1" t="s">
        <v>36</v>
      </c>
      <c r="E57" s="1" t="s">
        <v>4</v>
      </c>
      <c r="F57" s="1">
        <v>6</v>
      </c>
    </row>
    <row r="58" spans="1:6" x14ac:dyDescent="0.25">
      <c r="A58" s="1">
        <f t="shared" si="1"/>
        <v>57</v>
      </c>
      <c r="B58" s="5">
        <v>46015</v>
      </c>
      <c r="D58" s="1" t="s">
        <v>6</v>
      </c>
      <c r="E58" s="1" t="s">
        <v>651</v>
      </c>
      <c r="F58" s="1">
        <v>1</v>
      </c>
    </row>
    <row r="59" spans="1:6" x14ac:dyDescent="0.25">
      <c r="A59" s="1">
        <f t="shared" si="1"/>
        <v>58</v>
      </c>
      <c r="B59" s="5">
        <v>46029</v>
      </c>
      <c r="D59" s="1" t="s">
        <v>35</v>
      </c>
      <c r="E59" s="1" t="s">
        <v>82</v>
      </c>
      <c r="F59" s="1">
        <v>1</v>
      </c>
    </row>
    <row r="60" spans="1:6" x14ac:dyDescent="0.25">
      <c r="A60" s="1">
        <f t="shared" si="1"/>
        <v>59</v>
      </c>
      <c r="B60" s="5">
        <v>46037</v>
      </c>
      <c r="D60" s="1" t="s">
        <v>14</v>
      </c>
      <c r="E60" s="1" t="s">
        <v>4</v>
      </c>
      <c r="F60" s="1">
        <v>2</v>
      </c>
    </row>
    <row r="61" spans="1:6" x14ac:dyDescent="0.25">
      <c r="A61" s="1">
        <f t="shared" si="1"/>
        <v>60</v>
      </c>
      <c r="B61" s="5">
        <v>46052</v>
      </c>
      <c r="D61" s="1" t="s">
        <v>20</v>
      </c>
      <c r="E61" s="1" t="s">
        <v>4</v>
      </c>
      <c r="F61" s="1">
        <v>2</v>
      </c>
    </row>
    <row r="62" spans="1:6" x14ac:dyDescent="0.25">
      <c r="A62" s="1">
        <f t="shared" si="1"/>
        <v>61</v>
      </c>
      <c r="B62" s="5">
        <v>46052</v>
      </c>
      <c r="D62" s="1" t="s">
        <v>6</v>
      </c>
      <c r="E62" s="1" t="s">
        <v>651</v>
      </c>
      <c r="F62" s="1">
        <v>1</v>
      </c>
    </row>
    <row r="63" spans="1:6" x14ac:dyDescent="0.25">
      <c r="A63" s="1">
        <f t="shared" si="1"/>
        <v>62</v>
      </c>
      <c r="B63" s="5">
        <v>46077</v>
      </c>
      <c r="D63" s="1" t="s">
        <v>38</v>
      </c>
      <c r="E63" s="1" t="s">
        <v>4</v>
      </c>
      <c r="F63" s="1">
        <v>1</v>
      </c>
    </row>
    <row r="64" spans="1:6" x14ac:dyDescent="0.25">
      <c r="A64" s="1">
        <f t="shared" si="1"/>
        <v>63</v>
      </c>
      <c r="B64" s="5">
        <v>46079</v>
      </c>
      <c r="D64" s="1" t="s">
        <v>40</v>
      </c>
      <c r="E64" s="1" t="s">
        <v>4</v>
      </c>
      <c r="F64" s="1">
        <v>1</v>
      </c>
    </row>
    <row r="65" spans="1:6" x14ac:dyDescent="0.25">
      <c r="A65" s="1">
        <f t="shared" si="1"/>
        <v>64</v>
      </c>
      <c r="B65" s="5">
        <v>46079</v>
      </c>
      <c r="D65" s="1" t="s">
        <v>36</v>
      </c>
      <c r="E65" s="1" t="s">
        <v>4</v>
      </c>
      <c r="F65" s="1">
        <v>6</v>
      </c>
    </row>
    <row r="66" spans="1:6" x14ac:dyDescent="0.25">
      <c r="A66" s="1">
        <f t="shared" si="1"/>
        <v>65</v>
      </c>
      <c r="B66" s="5">
        <v>46079</v>
      </c>
      <c r="D66" s="1" t="s">
        <v>6</v>
      </c>
      <c r="E66" s="1" t="s">
        <v>651</v>
      </c>
      <c r="F66" s="1">
        <v>1</v>
      </c>
    </row>
    <row r="67" spans="1:6" x14ac:dyDescent="0.25">
      <c r="A67" s="1">
        <f t="shared" si="1"/>
        <v>66</v>
      </c>
      <c r="B67" s="5">
        <v>46087</v>
      </c>
      <c r="D67" s="1" t="s">
        <v>20</v>
      </c>
      <c r="E67" s="1" t="s">
        <v>4</v>
      </c>
      <c r="F67" s="1">
        <v>1</v>
      </c>
    </row>
    <row r="68" spans="1:6" x14ac:dyDescent="0.25">
      <c r="A68" s="1">
        <f t="shared" ref="A68:A74" si="2">ROW()-ROW($A$1)</f>
        <v>67</v>
      </c>
      <c r="B68" s="5">
        <v>46095</v>
      </c>
      <c r="D68" s="1" t="s">
        <v>40</v>
      </c>
      <c r="E68" s="1" t="s">
        <v>4</v>
      </c>
      <c r="F68" s="1">
        <v>1</v>
      </c>
    </row>
    <row r="69" spans="1:6" x14ac:dyDescent="0.25">
      <c r="A69" s="1">
        <f t="shared" si="2"/>
        <v>68</v>
      </c>
      <c r="B69" s="5">
        <v>46097</v>
      </c>
      <c r="D69" s="1" t="s">
        <v>14</v>
      </c>
      <c r="E69" s="1" t="s">
        <v>4</v>
      </c>
      <c r="F69" s="1">
        <v>2</v>
      </c>
    </row>
    <row r="70" spans="1:6" x14ac:dyDescent="0.25">
      <c r="A70" s="1">
        <f t="shared" si="2"/>
        <v>69</v>
      </c>
      <c r="B70" s="5">
        <v>46118</v>
      </c>
      <c r="D70" s="1" t="s">
        <v>37</v>
      </c>
      <c r="E70" s="1" t="s">
        <v>7</v>
      </c>
      <c r="F70" s="1">
        <v>10</v>
      </c>
    </row>
    <row r="71" spans="1:6" x14ac:dyDescent="0.25">
      <c r="A71" s="1">
        <f t="shared" si="2"/>
        <v>70</v>
      </c>
      <c r="B71" s="5">
        <v>46132</v>
      </c>
      <c r="D71" s="1" t="s">
        <v>20</v>
      </c>
      <c r="E71" s="1" t="s">
        <v>4</v>
      </c>
      <c r="F71" s="1">
        <v>1</v>
      </c>
    </row>
    <row r="72" spans="1:6" x14ac:dyDescent="0.25">
      <c r="A72" s="1">
        <f t="shared" si="2"/>
        <v>71</v>
      </c>
      <c r="B72" s="5">
        <v>46146</v>
      </c>
      <c r="D72" s="1" t="s">
        <v>17</v>
      </c>
      <c r="E72" s="1" t="s">
        <v>639</v>
      </c>
      <c r="F72" s="1">
        <v>1</v>
      </c>
    </row>
    <row r="73" spans="1:6" x14ac:dyDescent="0.25">
      <c r="A73" s="1">
        <f t="shared" si="2"/>
        <v>72</v>
      </c>
      <c r="B73" s="5">
        <v>46152</v>
      </c>
      <c r="D73" s="1" t="s">
        <v>6</v>
      </c>
      <c r="E73" s="1" t="s">
        <v>651</v>
      </c>
      <c r="F73" s="1">
        <v>1</v>
      </c>
    </row>
    <row r="74" spans="1:6" x14ac:dyDescent="0.25">
      <c r="A74" s="1">
        <f t="shared" si="2"/>
        <v>73</v>
      </c>
      <c r="B74" s="5">
        <v>46165</v>
      </c>
      <c r="D74" s="1" t="s">
        <v>14</v>
      </c>
      <c r="E74" s="1" t="s">
        <v>4</v>
      </c>
      <c r="F74" s="1">
        <v>1</v>
      </c>
    </row>
    <row r="75" spans="1:6" x14ac:dyDescent="0.25">
      <c r="A75" s="1">
        <f t="shared" ref="A75:A81" si="3">ROW()-ROW($A$1)</f>
        <v>74</v>
      </c>
      <c r="B75" s="5">
        <v>46165</v>
      </c>
      <c r="D75" s="1" t="s">
        <v>20</v>
      </c>
      <c r="E75" s="1" t="s">
        <v>4</v>
      </c>
      <c r="F75" s="1">
        <v>1</v>
      </c>
    </row>
    <row r="76" spans="1:6" x14ac:dyDescent="0.25">
      <c r="A76" s="1">
        <f t="shared" si="3"/>
        <v>75</v>
      </c>
      <c r="B76" s="5">
        <v>46172</v>
      </c>
      <c r="D76" s="1" t="s">
        <v>36</v>
      </c>
      <c r="E76" s="1" t="s">
        <v>4</v>
      </c>
      <c r="F76" s="1">
        <v>5</v>
      </c>
    </row>
    <row r="77" spans="1:6" x14ac:dyDescent="0.25">
      <c r="A77" s="1">
        <f t="shared" si="3"/>
        <v>76</v>
      </c>
      <c r="B77" s="5">
        <v>46181</v>
      </c>
      <c r="D77" s="1" t="s">
        <v>20</v>
      </c>
      <c r="E77" s="1" t="s">
        <v>4</v>
      </c>
      <c r="F77" s="1">
        <v>1</v>
      </c>
    </row>
    <row r="78" spans="1:6" x14ac:dyDescent="0.25">
      <c r="A78" s="1">
        <f t="shared" si="3"/>
        <v>77</v>
      </c>
      <c r="B78" s="5">
        <v>46181</v>
      </c>
      <c r="D78" s="1" t="s">
        <v>38</v>
      </c>
      <c r="E78" s="1" t="s">
        <v>4</v>
      </c>
      <c r="F78" s="1">
        <v>1</v>
      </c>
    </row>
    <row r="79" spans="1:6" x14ac:dyDescent="0.25">
      <c r="A79" s="1">
        <f t="shared" si="3"/>
        <v>78</v>
      </c>
      <c r="B79" s="5">
        <v>46200</v>
      </c>
      <c r="D79" s="1" t="s">
        <v>3</v>
      </c>
      <c r="E79" s="1" t="s">
        <v>4</v>
      </c>
      <c r="F79" s="1">
        <v>1</v>
      </c>
    </row>
    <row r="80" spans="1:6" x14ac:dyDescent="0.25">
      <c r="A80" s="1">
        <f t="shared" si="3"/>
        <v>79</v>
      </c>
      <c r="B80" s="5">
        <v>46207</v>
      </c>
      <c r="D80" s="1" t="s">
        <v>14</v>
      </c>
      <c r="E80" s="1" t="s">
        <v>4</v>
      </c>
      <c r="F80" s="1">
        <v>1</v>
      </c>
    </row>
    <row r="81" spans="1:6" x14ac:dyDescent="0.25">
      <c r="A81" s="1">
        <f t="shared" si="3"/>
        <v>80</v>
      </c>
      <c r="B81" s="5">
        <v>46209</v>
      </c>
      <c r="D81" s="1" t="s">
        <v>35</v>
      </c>
      <c r="E81" s="1" t="s">
        <v>4</v>
      </c>
      <c r="F81" s="1">
        <v>1</v>
      </c>
    </row>
    <row r="82" spans="1:6" x14ac:dyDescent="0.25">
      <c r="A82" s="1">
        <f t="shared" ref="A82:A88" si="4">ROW()-ROW($A$1)</f>
        <v>81</v>
      </c>
      <c r="B82" s="5">
        <v>46213</v>
      </c>
      <c r="D82" s="1" t="s">
        <v>20</v>
      </c>
      <c r="E82" s="1" t="s">
        <v>4</v>
      </c>
      <c r="F82" s="1">
        <v>1</v>
      </c>
    </row>
    <row r="83" spans="1:6" x14ac:dyDescent="0.25">
      <c r="A83" s="1">
        <f t="shared" si="4"/>
        <v>82</v>
      </c>
      <c r="B83" s="5">
        <v>46219</v>
      </c>
      <c r="D83" s="1" t="s">
        <v>40</v>
      </c>
      <c r="E83" s="1" t="s">
        <v>4</v>
      </c>
      <c r="F83" s="1">
        <v>1</v>
      </c>
    </row>
    <row r="84" spans="1:6" x14ac:dyDescent="0.25">
      <c r="A84" s="1">
        <f t="shared" si="4"/>
        <v>83</v>
      </c>
      <c r="B84" s="5">
        <v>46223</v>
      </c>
      <c r="D84" s="1" t="s">
        <v>17</v>
      </c>
      <c r="E84" s="1" t="s">
        <v>639</v>
      </c>
      <c r="F84" s="1">
        <v>1</v>
      </c>
    </row>
    <row r="85" spans="1:6" x14ac:dyDescent="0.25">
      <c r="A85" s="1">
        <f t="shared" si="4"/>
        <v>84</v>
      </c>
      <c r="B85" s="5">
        <v>46224</v>
      </c>
      <c r="D85" s="1" t="s">
        <v>6</v>
      </c>
      <c r="E85" s="1" t="s">
        <v>651</v>
      </c>
      <c r="F85" s="1">
        <v>1</v>
      </c>
    </row>
    <row r="86" spans="1:6" x14ac:dyDescent="0.25">
      <c r="A86" s="1">
        <f t="shared" si="4"/>
        <v>85</v>
      </c>
      <c r="B86" s="5">
        <v>46225</v>
      </c>
      <c r="D86" s="1" t="s">
        <v>14</v>
      </c>
      <c r="E86" s="1" t="s">
        <v>4</v>
      </c>
      <c r="F86" s="1">
        <v>1</v>
      </c>
    </row>
    <row r="87" spans="1:6" x14ac:dyDescent="0.25">
      <c r="A87" s="1">
        <f t="shared" si="4"/>
        <v>86</v>
      </c>
      <c r="B87" s="5">
        <v>46263</v>
      </c>
      <c r="D87" s="1" t="s">
        <v>35</v>
      </c>
      <c r="E87" s="1" t="s">
        <v>4</v>
      </c>
      <c r="F87" s="1">
        <v>1</v>
      </c>
    </row>
    <row r="88" spans="1:6" x14ac:dyDescent="0.25">
      <c r="A88" s="1">
        <f t="shared" si="4"/>
        <v>87</v>
      </c>
      <c r="B88" s="5">
        <v>46236</v>
      </c>
      <c r="D88" s="1" t="s">
        <v>14</v>
      </c>
      <c r="E88" s="1" t="s">
        <v>4</v>
      </c>
      <c r="F88" s="1">
        <v>1</v>
      </c>
    </row>
    <row r="89" spans="1:6" x14ac:dyDescent="0.25">
      <c r="A89" s="1">
        <f t="shared" ref="A89:A96" si="5">ROW()-ROW($A$1)</f>
        <v>88</v>
      </c>
      <c r="B89" s="5">
        <v>46245</v>
      </c>
      <c r="D89" s="1" t="s">
        <v>36</v>
      </c>
      <c r="E89" s="1" t="s">
        <v>4</v>
      </c>
      <c r="F89" s="1">
        <v>5</v>
      </c>
    </row>
    <row r="90" spans="1:6" x14ac:dyDescent="0.25">
      <c r="A90" s="1">
        <f t="shared" si="5"/>
        <v>89</v>
      </c>
      <c r="B90" s="5">
        <v>46245</v>
      </c>
      <c r="D90" s="1" t="s">
        <v>35</v>
      </c>
      <c r="E90" s="1" t="s">
        <v>4</v>
      </c>
      <c r="F90" s="1">
        <v>5</v>
      </c>
    </row>
    <row r="91" spans="1:6" x14ac:dyDescent="0.25">
      <c r="A91" s="1">
        <f t="shared" si="5"/>
        <v>90</v>
      </c>
      <c r="B91" s="5">
        <v>46245</v>
      </c>
      <c r="D91" s="1" t="s">
        <v>20</v>
      </c>
      <c r="E91" s="1" t="s">
        <v>4</v>
      </c>
      <c r="F91" s="1">
        <v>1</v>
      </c>
    </row>
    <row r="92" spans="1:6" x14ac:dyDescent="0.25">
      <c r="A92" s="1">
        <f t="shared" si="5"/>
        <v>91</v>
      </c>
      <c r="B92" s="5">
        <v>46246</v>
      </c>
      <c r="D92" s="1" t="s">
        <v>14</v>
      </c>
      <c r="E92" s="1" t="s">
        <v>4</v>
      </c>
      <c r="F92" s="1">
        <v>2</v>
      </c>
    </row>
    <row r="93" spans="1:6" x14ac:dyDescent="0.25">
      <c r="A93" s="1">
        <f t="shared" si="5"/>
        <v>92</v>
      </c>
      <c r="B93" s="5">
        <v>46252</v>
      </c>
      <c r="D93" s="1" t="s">
        <v>40</v>
      </c>
      <c r="E93" s="1" t="s">
        <v>4</v>
      </c>
      <c r="F93" s="1">
        <v>1</v>
      </c>
    </row>
    <row r="94" spans="1:6" x14ac:dyDescent="0.25">
      <c r="A94" s="1">
        <f t="shared" si="5"/>
        <v>93</v>
      </c>
      <c r="B94" s="5">
        <v>46259</v>
      </c>
      <c r="D94" s="1" t="s">
        <v>14</v>
      </c>
      <c r="E94" s="1" t="s">
        <v>4</v>
      </c>
      <c r="F94" s="1">
        <v>2</v>
      </c>
    </row>
    <row r="95" spans="1:6" x14ac:dyDescent="0.25">
      <c r="A95" s="1">
        <f t="shared" si="5"/>
        <v>94</v>
      </c>
      <c r="B95" s="5">
        <v>46271</v>
      </c>
      <c r="D95" s="1" t="s">
        <v>14</v>
      </c>
      <c r="E95" s="1" t="s">
        <v>4</v>
      </c>
      <c r="F95" s="1">
        <v>1</v>
      </c>
    </row>
    <row r="96" spans="1:6" x14ac:dyDescent="0.25">
      <c r="A96" s="1">
        <f t="shared" si="5"/>
        <v>95</v>
      </c>
      <c r="B96" s="5">
        <v>46272</v>
      </c>
      <c r="D96" s="1" t="s">
        <v>6</v>
      </c>
      <c r="E96" s="1" t="s">
        <v>651</v>
      </c>
      <c r="F96" s="1">
        <v>1</v>
      </c>
    </row>
  </sheetData>
  <dataValidations count="2">
    <dataValidation type="list" allowBlank="1" showInputMessage="1" sqref="D2:D96" xr:uid="{3DABCE18-64A7-4450-80D6-6DC13A0ABCC3}">
      <formula1>INDIRECT("DeptName01[Department Name]")</formula1>
    </dataValidation>
    <dataValidation type="list" allowBlank="1" showInputMessage="1" sqref="E2:E96" xr:uid="{DF8DF45B-9F48-4E57-AC81-4E502F3CAF4E}">
      <formula1>INDIRECT("Con_Rec_Item01[Consumable &amp; Recurring Item]")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DD237-16CC-4257-9AE1-F7D6F07D20E1}">
  <dimension ref="A1:D26"/>
  <sheetViews>
    <sheetView workbookViewId="0">
      <selection activeCell="B27" sqref="B27"/>
    </sheetView>
  </sheetViews>
  <sheetFormatPr defaultRowHeight="15" x14ac:dyDescent="0.25"/>
  <cols>
    <col min="1" max="1" width="11" style="1" bestFit="1" customWidth="1"/>
    <col min="2" max="2" width="18.5703125" style="2" bestFit="1" customWidth="1"/>
    <col min="3" max="3" width="24.28515625" style="1" bestFit="1" customWidth="1"/>
    <col min="4" max="4" width="10.5703125" style="1" bestFit="1" customWidth="1"/>
    <col min="5" max="16384" width="9.140625" style="1"/>
  </cols>
  <sheetData>
    <row r="1" spans="1:4" x14ac:dyDescent="0.25">
      <c r="A1" s="1" t="s">
        <v>41</v>
      </c>
      <c r="B1" s="2" t="s">
        <v>42</v>
      </c>
      <c r="C1" s="1" t="s">
        <v>43</v>
      </c>
      <c r="D1" s="1" t="s">
        <v>44</v>
      </c>
    </row>
    <row r="2" spans="1:4" x14ac:dyDescent="0.25">
      <c r="A2" s="1">
        <f t="shared" ref="A2:A7" si="0">ROW()-ROW($A$1)</f>
        <v>1</v>
      </c>
      <c r="B2" s="2" t="s">
        <v>58</v>
      </c>
      <c r="C2" s="1" t="s">
        <v>13</v>
      </c>
      <c r="D2" s="1">
        <v>5</v>
      </c>
    </row>
    <row r="3" spans="1:4" x14ac:dyDescent="0.25">
      <c r="A3" s="1">
        <f t="shared" si="0"/>
        <v>2</v>
      </c>
      <c r="B3" s="2" t="s">
        <v>59</v>
      </c>
      <c r="C3" s="1" t="s">
        <v>5</v>
      </c>
      <c r="D3" s="1">
        <v>3</v>
      </c>
    </row>
    <row r="4" spans="1:4" x14ac:dyDescent="0.25">
      <c r="A4" s="1">
        <f t="shared" si="0"/>
        <v>3</v>
      </c>
      <c r="B4" s="2" t="s">
        <v>59</v>
      </c>
      <c r="C4" s="1" t="s">
        <v>8</v>
      </c>
      <c r="D4" s="1">
        <v>3</v>
      </c>
    </row>
    <row r="5" spans="1:4" x14ac:dyDescent="0.25">
      <c r="A5" s="1">
        <f t="shared" si="0"/>
        <v>4</v>
      </c>
      <c r="B5" s="7">
        <v>45651</v>
      </c>
      <c r="C5" s="1" t="s">
        <v>13</v>
      </c>
      <c r="D5" s="1">
        <v>5</v>
      </c>
    </row>
    <row r="6" spans="1:4" x14ac:dyDescent="0.25">
      <c r="A6" s="1">
        <f t="shared" si="0"/>
        <v>5</v>
      </c>
      <c r="B6" s="7">
        <v>45713</v>
      </c>
      <c r="C6" s="1" t="s">
        <v>5</v>
      </c>
      <c r="D6" s="1">
        <v>10</v>
      </c>
    </row>
    <row r="7" spans="1:4" x14ac:dyDescent="0.25">
      <c r="A7" s="1">
        <f t="shared" si="0"/>
        <v>6</v>
      </c>
      <c r="B7" s="7">
        <v>45713</v>
      </c>
      <c r="C7" s="1" t="s">
        <v>8</v>
      </c>
      <c r="D7" s="1">
        <v>10</v>
      </c>
    </row>
    <row r="8" spans="1:4" x14ac:dyDescent="0.25">
      <c r="A8" s="1">
        <f t="shared" ref="A8:A21" si="1">ROW()-ROW($A$1)</f>
        <v>7</v>
      </c>
      <c r="B8" s="7">
        <v>45749</v>
      </c>
      <c r="C8" s="1" t="s">
        <v>76</v>
      </c>
      <c r="D8" s="1">
        <v>1</v>
      </c>
    </row>
    <row r="9" spans="1:4" x14ac:dyDescent="0.25">
      <c r="A9" s="1">
        <f t="shared" si="1"/>
        <v>8</v>
      </c>
      <c r="B9" s="2">
        <v>45866</v>
      </c>
      <c r="C9" s="1" t="s">
        <v>86</v>
      </c>
      <c r="D9" s="1">
        <v>2</v>
      </c>
    </row>
    <row r="10" spans="1:4" x14ac:dyDescent="0.25">
      <c r="A10" s="1">
        <f t="shared" si="1"/>
        <v>9</v>
      </c>
      <c r="B10" s="2">
        <v>45866</v>
      </c>
      <c r="C10" s="1" t="s">
        <v>87</v>
      </c>
      <c r="D10" s="1">
        <v>2</v>
      </c>
    </row>
    <row r="11" spans="1:4" x14ac:dyDescent="0.25">
      <c r="A11" s="1">
        <f t="shared" si="1"/>
        <v>10</v>
      </c>
      <c r="B11" s="2">
        <v>45866</v>
      </c>
      <c r="C11" s="1" t="s">
        <v>88</v>
      </c>
      <c r="D11" s="1">
        <v>1</v>
      </c>
    </row>
    <row r="12" spans="1:4" x14ac:dyDescent="0.25">
      <c r="A12" s="1">
        <f t="shared" si="1"/>
        <v>11</v>
      </c>
      <c r="B12" s="2">
        <v>45887</v>
      </c>
      <c r="C12" s="1" t="s">
        <v>8</v>
      </c>
      <c r="D12" s="1">
        <v>3</v>
      </c>
    </row>
    <row r="13" spans="1:4" x14ac:dyDescent="0.25">
      <c r="A13" s="1">
        <f t="shared" si="1"/>
        <v>12</v>
      </c>
      <c r="B13" s="2">
        <v>45887</v>
      </c>
      <c r="C13" s="1" t="s">
        <v>13</v>
      </c>
      <c r="D13" s="1">
        <v>2</v>
      </c>
    </row>
    <row r="14" spans="1:4" x14ac:dyDescent="0.25">
      <c r="A14" s="1">
        <f t="shared" si="1"/>
        <v>13</v>
      </c>
      <c r="B14" s="2">
        <v>45887</v>
      </c>
      <c r="C14" s="1" t="s">
        <v>640</v>
      </c>
      <c r="D14" s="1">
        <v>1</v>
      </c>
    </row>
    <row r="15" spans="1:4" x14ac:dyDescent="0.25">
      <c r="A15" s="1">
        <f t="shared" si="1"/>
        <v>14</v>
      </c>
      <c r="B15" s="2">
        <v>45887</v>
      </c>
      <c r="C15" s="1" t="s">
        <v>88</v>
      </c>
      <c r="D15" s="1">
        <v>1</v>
      </c>
    </row>
    <row r="16" spans="1:4" x14ac:dyDescent="0.25">
      <c r="A16" s="1">
        <f t="shared" si="1"/>
        <v>15</v>
      </c>
      <c r="B16" s="2">
        <v>45887</v>
      </c>
      <c r="C16" s="1" t="s">
        <v>646</v>
      </c>
      <c r="D16" s="1">
        <v>1</v>
      </c>
    </row>
    <row r="17" spans="1:4" x14ac:dyDescent="0.25">
      <c r="A17" s="1">
        <f t="shared" si="1"/>
        <v>16</v>
      </c>
      <c r="B17" s="2">
        <v>45887</v>
      </c>
      <c r="C17" s="1" t="s">
        <v>642</v>
      </c>
      <c r="D17" s="1">
        <v>2</v>
      </c>
    </row>
    <row r="18" spans="1:4" x14ac:dyDescent="0.25">
      <c r="A18" s="1">
        <f t="shared" si="1"/>
        <v>17</v>
      </c>
      <c r="B18" s="2">
        <v>45887</v>
      </c>
      <c r="C18" s="1" t="s">
        <v>643</v>
      </c>
      <c r="D18" s="1">
        <v>10</v>
      </c>
    </row>
    <row r="19" spans="1:4" x14ac:dyDescent="0.25">
      <c r="A19" s="1">
        <f t="shared" si="1"/>
        <v>18</v>
      </c>
      <c r="B19" s="2">
        <v>45887</v>
      </c>
      <c r="C19" s="1" t="s">
        <v>644</v>
      </c>
      <c r="D19" s="1">
        <v>3</v>
      </c>
    </row>
    <row r="20" spans="1:4" x14ac:dyDescent="0.25">
      <c r="A20" s="1">
        <f t="shared" si="1"/>
        <v>19</v>
      </c>
      <c r="B20" s="2">
        <v>45887</v>
      </c>
      <c r="C20" s="1" t="s">
        <v>645</v>
      </c>
      <c r="D20" s="1">
        <v>10</v>
      </c>
    </row>
    <row r="21" spans="1:4" x14ac:dyDescent="0.25">
      <c r="A21" s="1">
        <f t="shared" si="1"/>
        <v>20</v>
      </c>
      <c r="B21" s="2">
        <v>45887</v>
      </c>
      <c r="C21" s="1" t="s">
        <v>649</v>
      </c>
      <c r="D21" s="1">
        <v>3</v>
      </c>
    </row>
    <row r="22" spans="1:4" x14ac:dyDescent="0.25">
      <c r="A22" s="1">
        <f>ROW()-ROW($A$1)</f>
        <v>21</v>
      </c>
      <c r="B22" s="2">
        <v>45948</v>
      </c>
      <c r="C22" s="1" t="s">
        <v>640</v>
      </c>
      <c r="D22" s="1">
        <v>1</v>
      </c>
    </row>
    <row r="23" spans="1:4" x14ac:dyDescent="0.25">
      <c r="A23" s="1">
        <f>ROW()-ROW($A$1)</f>
        <v>22</v>
      </c>
      <c r="B23" s="2">
        <v>46029</v>
      </c>
      <c r="C23" s="1" t="s">
        <v>5</v>
      </c>
      <c r="D23" s="1">
        <v>5</v>
      </c>
    </row>
    <row r="24" spans="1:4" x14ac:dyDescent="0.25">
      <c r="A24" s="1">
        <f>ROW()-ROW($A$1)</f>
        <v>23</v>
      </c>
      <c r="B24" s="2">
        <v>46029</v>
      </c>
      <c r="C24" s="1" t="s">
        <v>8</v>
      </c>
      <c r="D24" s="1">
        <v>5</v>
      </c>
    </row>
    <row r="25" spans="1:4" x14ac:dyDescent="0.25">
      <c r="A25" s="1">
        <f>ROW()-ROW($A$1)</f>
        <v>24</v>
      </c>
      <c r="B25" s="2">
        <v>46029</v>
      </c>
      <c r="C25" s="1" t="s">
        <v>85</v>
      </c>
      <c r="D25" s="1">
        <v>5</v>
      </c>
    </row>
    <row r="26" spans="1:4" x14ac:dyDescent="0.25">
      <c r="A26" s="1">
        <f>ROW()-ROW($A$1)</f>
        <v>25</v>
      </c>
      <c r="B26" s="2">
        <v>46090</v>
      </c>
      <c r="C26" s="1" t="s">
        <v>13</v>
      </c>
      <c r="D26" s="1">
        <v>2</v>
      </c>
    </row>
  </sheetData>
  <dataValidations count="1">
    <dataValidation type="list" allowBlank="1" showInputMessage="1" sqref="C2:C26" xr:uid="{51DE2187-D3DB-4222-B99F-99F4158FDE12}">
      <formula1>INDIRECT("CompEquip01[Computer Equipment]")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1377-9856-4584-A946-30F48CFA6DD5}">
  <dimension ref="A1:H21"/>
  <sheetViews>
    <sheetView topLeftCell="A2" workbookViewId="0">
      <selection activeCell="H21" sqref="H21"/>
    </sheetView>
  </sheetViews>
  <sheetFormatPr defaultRowHeight="15" x14ac:dyDescent="0.25"/>
  <cols>
    <col min="1" max="1" width="11.5703125" style="1" bestFit="1" customWidth="1"/>
    <col min="2" max="2" width="24.28515625" style="1" bestFit="1" customWidth="1"/>
    <col min="3" max="3" width="10.5703125" style="1" bestFit="1" customWidth="1"/>
    <col min="4" max="4" width="10.140625" style="1" bestFit="1" customWidth="1"/>
    <col min="5" max="5" width="11.7109375" style="1" bestFit="1" customWidth="1"/>
    <col min="6" max="6" width="13" style="1" bestFit="1" customWidth="1"/>
    <col min="7" max="7" width="16.7109375" style="1" bestFit="1" customWidth="1"/>
    <col min="8" max="8" width="10.7109375" style="1" bestFit="1" customWidth="1"/>
    <col min="9" max="16384" width="9.140625" style="1"/>
  </cols>
  <sheetData>
    <row r="1" spans="1:8" x14ac:dyDescent="0.25">
      <c r="A1" s="1" t="s">
        <v>47</v>
      </c>
      <c r="B1" s="1" t="s">
        <v>43</v>
      </c>
      <c r="C1" s="1" t="s">
        <v>44</v>
      </c>
      <c r="D1" s="1" t="s">
        <v>45</v>
      </c>
      <c r="E1" s="1" t="s">
        <v>60</v>
      </c>
      <c r="F1" s="1" t="s">
        <v>61</v>
      </c>
      <c r="G1" s="1" t="s">
        <v>62</v>
      </c>
      <c r="H1" s="1" t="s">
        <v>46</v>
      </c>
    </row>
    <row r="2" spans="1:8" x14ac:dyDescent="0.25">
      <c r="A2" s="1">
        <f t="shared" ref="A2:A11" si="0">ROW()-ROW($A$1)</f>
        <v>1</v>
      </c>
      <c r="B2" s="1" t="s">
        <v>645</v>
      </c>
      <c r="C2" s="1">
        <f>SUMIF(Equip_ReStock01[Item Name],CompEquipTable01[[#This Row],[Item Name]],Equip_ReStock01[Stock])</f>
        <v>10</v>
      </c>
      <c r="D2" s="1">
        <f>SUMIFS(EquipRecord01[Qty. Used],EquipRecord01[Computer Equipment],CompEquipTable01[[#This Row],[Item Name]],EquipRecord01[Action],"Given to User")</f>
        <v>0</v>
      </c>
      <c r="E2" s="1">
        <f>SUMIFS(EquipRecord01[Qty. Used],EquipRecord01[Computer Equipment],CompEquipTable01[[#This Row],[Item Name]],EquipRecord01[Action],"Return by User",EquipRecord01[Status],"&lt;&gt;Not Working")</f>
        <v>0</v>
      </c>
      <c r="F2" s="1">
        <f>COUNTIFS(EquipRecord01[Computer Equipment],CompEquipTable01[[#This Row],[Item Name]],EquipRecord01[Status],"Working")</f>
        <v>0</v>
      </c>
      <c r="G2" s="1">
        <f>COUNTIFS(EquipRecord01[Computer Equipment],CompEquipTable01[[#This Row],[Item Name]],EquipRecord01[Status],"Not Working")</f>
        <v>0</v>
      </c>
      <c r="H2" s="1">
        <f>(CompEquipTable01[[#This Row],[Stock]])-(CompEquipTable01[[#This Row],[Used]]+CompEquipTable01[[#This Row],[Not Working]])</f>
        <v>10</v>
      </c>
    </row>
    <row r="3" spans="1:8" x14ac:dyDescent="0.25">
      <c r="A3" s="1">
        <f t="shared" si="0"/>
        <v>2</v>
      </c>
      <c r="B3" s="1" t="s">
        <v>643</v>
      </c>
      <c r="C3" s="1">
        <f>SUMIF(Equip_ReStock01[Item Name],CompEquipTable01[[#This Row],[Item Name]],Equip_ReStock01[Stock])</f>
        <v>10</v>
      </c>
      <c r="D3" s="1">
        <f>SUMIFS(EquipRecord01[Qty. Used],EquipRecord01[Computer Equipment],CompEquipTable01[[#This Row],[Item Name]],EquipRecord01[Action],"Given to User")</f>
        <v>0</v>
      </c>
      <c r="E3" s="1">
        <f>SUMIFS(EquipRecord01[Qty. Used],EquipRecord01[Computer Equipment],CompEquipTable01[[#This Row],[Item Name]],EquipRecord01[Action],"Return by User",EquipRecord01[Status],"&lt;&gt;Not Working")</f>
        <v>0</v>
      </c>
      <c r="F3" s="1">
        <f>COUNTIFS(EquipRecord01[Computer Equipment],CompEquipTable01[[#This Row],[Item Name]],EquipRecord01[Status],"Working")</f>
        <v>0</v>
      </c>
      <c r="G3" s="1">
        <f>COUNTIFS(EquipRecord01[Computer Equipment],CompEquipTable01[[#This Row],[Item Name]],EquipRecord01[Status],"Not Working")</f>
        <v>0</v>
      </c>
      <c r="H3" s="1">
        <f>(CompEquipTable01[[#This Row],[Stock]])-(CompEquipTable01[[#This Row],[Used]]+CompEquipTable01[[#This Row],[Not Working]])</f>
        <v>10</v>
      </c>
    </row>
    <row r="4" spans="1:8" x14ac:dyDescent="0.25">
      <c r="A4" s="1">
        <f t="shared" si="0"/>
        <v>3</v>
      </c>
      <c r="B4" s="1" t="s">
        <v>640</v>
      </c>
      <c r="C4" s="1">
        <f>SUMIF(Equip_ReStock01[Item Name],CompEquipTable01[[#This Row],[Item Name]],Equip_ReStock01[Stock])</f>
        <v>2</v>
      </c>
      <c r="D4" s="1">
        <f>SUMIFS(EquipRecord01[Qty. Used],EquipRecord01[Computer Equipment],CompEquipTable01[[#This Row],[Item Name]],EquipRecord01[Action],"Given to User")</f>
        <v>1</v>
      </c>
      <c r="E4" s="1">
        <f>SUMIFS(EquipRecord01[Qty. Used],EquipRecord01[Computer Equipment],CompEquipTable01[[#This Row],[Item Name]],EquipRecord01[Action],"Return by User",EquipRecord01[Status],"&lt;&gt;Not Working")</f>
        <v>0</v>
      </c>
      <c r="F4" s="1">
        <f>COUNTIFS(EquipRecord01[Computer Equipment],CompEquipTable01[[#This Row],[Item Name]],EquipRecord01[Status],"Working")</f>
        <v>1</v>
      </c>
      <c r="G4" s="1">
        <f>COUNTIFS(EquipRecord01[Computer Equipment],CompEquipTable01[[#This Row],[Item Name]],EquipRecord01[Status],"Not Working")</f>
        <v>0</v>
      </c>
      <c r="H4" s="1">
        <f>(CompEquipTable01[[#This Row],[Stock]])-(CompEquipTable01[[#This Row],[Used]]+CompEquipTable01[[#This Row],[Not Working]])</f>
        <v>1</v>
      </c>
    </row>
    <row r="5" spans="1:8" x14ac:dyDescent="0.25">
      <c r="A5" s="1">
        <f t="shared" si="0"/>
        <v>4</v>
      </c>
      <c r="B5" s="1" t="s">
        <v>641</v>
      </c>
      <c r="C5" s="1">
        <f>SUMIF(Equip_ReStock01[Item Name],CompEquipTable01[[#This Row],[Item Name]],Equip_ReStock01[Stock])</f>
        <v>0</v>
      </c>
      <c r="D5" s="1">
        <f>SUMIFS(EquipRecord01[Qty. Used],EquipRecord01[Computer Equipment],CompEquipTable01[[#This Row],[Item Name]],EquipRecord01[Action],"Given to User")</f>
        <v>0</v>
      </c>
      <c r="E5" s="1">
        <f>SUMIFS(EquipRecord01[Qty. Used],EquipRecord01[Computer Equipment],CompEquipTable01[[#This Row],[Item Name]],EquipRecord01[Action],"Return by User",EquipRecord01[Status],"&lt;&gt;Not Working")</f>
        <v>0</v>
      </c>
      <c r="F5" s="1">
        <f>COUNTIFS(EquipRecord01[Computer Equipment],CompEquipTable01[[#This Row],[Item Name]],EquipRecord01[Status],"Working")</f>
        <v>0</v>
      </c>
      <c r="G5" s="1">
        <f>COUNTIFS(EquipRecord01[Computer Equipment],CompEquipTable01[[#This Row],[Item Name]],EquipRecord01[Status],"Not Working")</f>
        <v>0</v>
      </c>
      <c r="H5" s="1">
        <f>(CompEquipTable01[[#This Row],[Stock]])-(CompEquipTable01[[#This Row],[Used]]+CompEquipTable01[[#This Row],[Not Working]])</f>
        <v>0</v>
      </c>
    </row>
    <row r="6" spans="1:8" x14ac:dyDescent="0.25">
      <c r="A6" s="1">
        <f t="shared" si="0"/>
        <v>5</v>
      </c>
      <c r="B6" s="1" t="s">
        <v>83</v>
      </c>
      <c r="C6" s="1">
        <f>SUMIF(Equip_ReStock01[Item Name],CompEquipTable01[[#This Row],[Item Name]],Equip_ReStock01[Stock])</f>
        <v>0</v>
      </c>
      <c r="D6" s="1">
        <f>SUMIFS(EquipRecord01[Qty. Used],EquipRecord01[Computer Equipment],CompEquipTable01[[#This Row],[Item Name]],EquipRecord01[Action],"Given to User")</f>
        <v>0</v>
      </c>
      <c r="E6" s="1">
        <f>SUMIFS(EquipRecord01[Qty. Used],EquipRecord01[Computer Equipment],CompEquipTable01[[#This Row],[Item Name]],EquipRecord01[Action],"Return by User",EquipRecord01[Status],"&lt;&gt;Not Working")</f>
        <v>0</v>
      </c>
      <c r="F6" s="1">
        <f>COUNTIFS(EquipRecord01[Computer Equipment],CompEquipTable01[[#This Row],[Item Name]],EquipRecord01[Status],"Working")</f>
        <v>0</v>
      </c>
      <c r="G6" s="1">
        <f>COUNTIFS(EquipRecord01[Computer Equipment],CompEquipTable01[[#This Row],[Item Name]],EquipRecord01[Status],"Not Working")</f>
        <v>0</v>
      </c>
      <c r="H6" s="1">
        <f>(CompEquipTable01[[#This Row],[Stock]])-(CompEquipTable01[[#This Row],[Used]]+CompEquipTable01[[#This Row],[Not Working]])</f>
        <v>0</v>
      </c>
    </row>
    <row r="7" spans="1:8" x14ac:dyDescent="0.25">
      <c r="A7" s="1">
        <f t="shared" si="0"/>
        <v>6</v>
      </c>
      <c r="B7" s="1" t="s">
        <v>5</v>
      </c>
      <c r="C7" s="1">
        <f>SUMIF(Equip_ReStock01[Item Name],CompEquipTable01[[#This Row],[Item Name]],Equip_ReStock01[Stock])</f>
        <v>18</v>
      </c>
      <c r="D7" s="1">
        <f>SUMIFS(EquipRecord01[Qty. Used],EquipRecord01[Computer Equipment],CompEquipTable01[[#This Row],[Item Name]],EquipRecord01[Action],"Given to User")</f>
        <v>13</v>
      </c>
      <c r="E7" s="1">
        <f>SUMIFS(EquipRecord01[Qty. Used],EquipRecord01[Computer Equipment],CompEquipTable01[[#This Row],[Item Name]],EquipRecord01[Action],"Return by User",EquipRecord01[Status],"&lt;&gt;Not Working")</f>
        <v>0</v>
      </c>
      <c r="F7" s="1">
        <f>COUNTIFS(EquipRecord01[Computer Equipment],CompEquipTable01[[#This Row],[Item Name]],EquipRecord01[Status],"Working")</f>
        <v>12</v>
      </c>
      <c r="G7" s="1">
        <f>COUNTIFS(EquipRecord01[Computer Equipment],CompEquipTable01[[#This Row],[Item Name]],EquipRecord01[Status],"Not Working")</f>
        <v>0</v>
      </c>
      <c r="H7" s="1">
        <f>(CompEquipTable01[[#This Row],[Stock]])-(CompEquipTable01[[#This Row],[Used]]+CompEquipTable01[[#This Row],[Not Working]])</f>
        <v>5</v>
      </c>
    </row>
    <row r="8" spans="1:8" x14ac:dyDescent="0.25">
      <c r="A8" s="1">
        <f t="shared" si="0"/>
        <v>7</v>
      </c>
      <c r="B8" s="1" t="s">
        <v>646</v>
      </c>
      <c r="C8" s="1">
        <f>SUMIF(Equip_ReStock01[Item Name],CompEquipTable01[[#This Row],[Item Name]],Equip_ReStock01[Stock])</f>
        <v>1</v>
      </c>
      <c r="D8" s="1">
        <f>SUMIFS(EquipRecord01[Qty. Used],EquipRecord01[Computer Equipment],CompEquipTable01[[#This Row],[Item Name]],EquipRecord01[Action],"Given to User")</f>
        <v>1</v>
      </c>
      <c r="E8" s="1">
        <f>SUMIFS(EquipRecord01[Qty. Used],EquipRecord01[Computer Equipment],CompEquipTable01[[#This Row],[Item Name]],EquipRecord01[Action],"Return by User",EquipRecord01[Status],"&lt;&gt;Not Working")</f>
        <v>0</v>
      </c>
      <c r="F8" s="1">
        <f>COUNTIFS(EquipRecord01[Computer Equipment],CompEquipTable01[[#This Row],[Item Name]],EquipRecord01[Status],"Working")</f>
        <v>1</v>
      </c>
      <c r="G8" s="1">
        <f>COUNTIFS(EquipRecord01[Computer Equipment],CompEquipTable01[[#This Row],[Item Name]],EquipRecord01[Status],"Not Working")</f>
        <v>0</v>
      </c>
      <c r="H8" s="1">
        <f>(CompEquipTable01[[#This Row],[Stock]])-(CompEquipTable01[[#This Row],[Used]]+CompEquipTable01[[#This Row],[Not Working]])</f>
        <v>0</v>
      </c>
    </row>
    <row r="9" spans="1:8" x14ac:dyDescent="0.25">
      <c r="A9" s="1">
        <f t="shared" si="0"/>
        <v>8</v>
      </c>
      <c r="B9" s="1" t="s">
        <v>15</v>
      </c>
      <c r="C9" s="1">
        <f>SUMIF(Equip_ReStock01[Item Name],CompEquipTable01[[#This Row],[Item Name]],Equip_ReStock01[Stock])</f>
        <v>0</v>
      </c>
      <c r="D9" s="1">
        <f>SUMIFS(EquipRecord01[Qty. Used],EquipRecord01[Computer Equipment],CompEquipTable01[[#This Row],[Item Name]],EquipRecord01[Action],"Given to User")</f>
        <v>0</v>
      </c>
      <c r="E9" s="1">
        <f>SUMIFS(EquipRecord01[Qty. Used],EquipRecord01[Computer Equipment],CompEquipTable01[[#This Row],[Item Name]],EquipRecord01[Action],"Return by User",EquipRecord01[Status],"&lt;&gt;Not Working")</f>
        <v>0</v>
      </c>
      <c r="F9" s="1">
        <f>COUNTIFS(EquipRecord01[Computer Equipment],CompEquipTable01[[#This Row],[Item Name]],EquipRecord01[Status],"Working")</f>
        <v>0</v>
      </c>
      <c r="G9" s="1">
        <f>COUNTIFS(EquipRecord01[Computer Equipment],CompEquipTable01[[#This Row],[Item Name]],EquipRecord01[Status],"Not Working")</f>
        <v>0</v>
      </c>
      <c r="H9" s="1">
        <f>(CompEquipTable01[[#This Row],[Stock]])-(CompEquipTable01[[#This Row],[Used]]+CompEquipTable01[[#This Row],[Not Working]])</f>
        <v>0</v>
      </c>
    </row>
    <row r="10" spans="1:8" x14ac:dyDescent="0.25">
      <c r="A10" s="1">
        <f t="shared" si="0"/>
        <v>9</v>
      </c>
      <c r="B10" s="1" t="s">
        <v>8</v>
      </c>
      <c r="C10" s="1">
        <f>SUMIF(Equip_ReStock01[Item Name],CompEquipTable01[[#This Row],[Item Name]],Equip_ReStock01[Stock])</f>
        <v>21</v>
      </c>
      <c r="D10" s="1">
        <f>SUMIFS(EquipRecord01[Qty. Used],EquipRecord01[Computer Equipment],CompEquipTable01[[#This Row],[Item Name]],EquipRecord01[Action],"Given to User")</f>
        <v>16</v>
      </c>
      <c r="E10" s="1">
        <f>SUMIFS(EquipRecord01[Qty. Used],EquipRecord01[Computer Equipment],CompEquipTable01[[#This Row],[Item Name]],EquipRecord01[Action],"Return by User",EquipRecord01[Status],"&lt;&gt;Not Working")</f>
        <v>0</v>
      </c>
      <c r="F10" s="1">
        <f>COUNTIFS(EquipRecord01[Computer Equipment],CompEquipTable01[[#This Row],[Item Name]],EquipRecord01[Status],"Working")</f>
        <v>15</v>
      </c>
      <c r="G10" s="1">
        <f>COUNTIFS(EquipRecord01[Computer Equipment],CompEquipTable01[[#This Row],[Item Name]],EquipRecord01[Status],"Not Working")</f>
        <v>0</v>
      </c>
      <c r="H10" s="1">
        <f>(CompEquipTable01[[#This Row],[Stock]])-(CompEquipTable01[[#This Row],[Used]]+CompEquipTable01[[#This Row],[Not Working]])</f>
        <v>5</v>
      </c>
    </row>
    <row r="11" spans="1:8" x14ac:dyDescent="0.25">
      <c r="A11" s="1">
        <f t="shared" si="0"/>
        <v>10</v>
      </c>
      <c r="B11" s="1" t="s">
        <v>88</v>
      </c>
      <c r="C11" s="1">
        <f>SUMIF(Equip_ReStock01[Item Name],CompEquipTable01[[#This Row],[Item Name]],Equip_ReStock01[Stock])</f>
        <v>2</v>
      </c>
      <c r="D11" s="1">
        <f>SUMIFS(EquipRecord01[Qty. Used],EquipRecord01[Computer Equipment],CompEquipTable01[[#This Row],[Item Name]],EquipRecord01[Action],"Given to User")</f>
        <v>1</v>
      </c>
      <c r="E11" s="1">
        <f>SUMIFS(EquipRecord01[Qty. Used],EquipRecord01[Computer Equipment],CompEquipTable01[[#This Row],[Item Name]],EquipRecord01[Action],"Return by User",EquipRecord01[Status],"&lt;&gt;Not Working")</f>
        <v>0</v>
      </c>
      <c r="F11" s="1">
        <f>COUNTIFS(EquipRecord01[Computer Equipment],CompEquipTable01[[#This Row],[Item Name]],EquipRecord01[Status],"Working")</f>
        <v>1</v>
      </c>
      <c r="G11" s="1">
        <f>COUNTIFS(EquipRecord01[Computer Equipment],CompEquipTable01[[#This Row],[Item Name]],EquipRecord01[Status],"Not Working")</f>
        <v>0</v>
      </c>
      <c r="H11" s="1">
        <f>(CompEquipTable01[[#This Row],[Stock]])-(CompEquipTable01[[#This Row],[Used]]+CompEquipTable01[[#This Row],[Not Working]])</f>
        <v>1</v>
      </c>
    </row>
    <row r="12" spans="1:8" x14ac:dyDescent="0.25">
      <c r="A12" s="1">
        <f t="shared" ref="A12:A21" si="1">ROW()-ROW($A$1)</f>
        <v>11</v>
      </c>
      <c r="B12" s="1" t="s">
        <v>647</v>
      </c>
      <c r="C12" s="1">
        <f>SUMIF(Equip_ReStock01[Item Name],CompEquipTable01[[#This Row],[Item Name]],Equip_ReStock01[Stock])</f>
        <v>0</v>
      </c>
      <c r="D12" s="1">
        <f>SUMIFS(EquipRecord01[Qty. Used],EquipRecord01[Computer Equipment],CompEquipTable01[[#This Row],[Item Name]],EquipRecord01[Action],"Given to User")</f>
        <v>0</v>
      </c>
      <c r="E12" s="1">
        <f>SUMIFS(EquipRecord01[Qty. Used],EquipRecord01[Computer Equipment],CompEquipTable01[[#This Row],[Item Name]],EquipRecord01[Action],"Return by User",EquipRecord01[Status],"&lt;&gt;Not Working")</f>
        <v>0</v>
      </c>
      <c r="F12" s="1">
        <f>COUNTIFS(EquipRecord01[Computer Equipment],CompEquipTable01[[#This Row],[Item Name]],EquipRecord01[Status],"Working")</f>
        <v>0</v>
      </c>
      <c r="G12" s="1">
        <f>COUNTIFS(EquipRecord01[Computer Equipment],CompEquipTable01[[#This Row],[Item Name]],EquipRecord01[Status],"Not Working")</f>
        <v>0</v>
      </c>
      <c r="H12" s="1">
        <f>(CompEquipTable01[[#This Row],[Stock]])-(CompEquipTable01[[#This Row],[Used]]+CompEquipTable01[[#This Row],[Not Working]])</f>
        <v>0</v>
      </c>
    </row>
    <row r="13" spans="1:8" x14ac:dyDescent="0.25">
      <c r="A13" s="1">
        <f t="shared" si="1"/>
        <v>12</v>
      </c>
      <c r="B13" s="1" t="s">
        <v>644</v>
      </c>
      <c r="C13" s="1">
        <f>SUMIF(Equip_ReStock01[Item Name],CompEquipTable01[[#This Row],[Item Name]],Equip_ReStock01[Stock])</f>
        <v>3</v>
      </c>
      <c r="D13" s="1">
        <f>SUMIFS(EquipRecord01[Qty. Used],EquipRecord01[Computer Equipment],CompEquipTable01[[#This Row],[Item Name]],EquipRecord01[Action],"Given to User")</f>
        <v>0</v>
      </c>
      <c r="E13" s="1">
        <f>SUMIFS(EquipRecord01[Qty. Used],EquipRecord01[Computer Equipment],CompEquipTable01[[#This Row],[Item Name]],EquipRecord01[Action],"Return by User",EquipRecord01[Status],"&lt;&gt;Not Working")</f>
        <v>0</v>
      </c>
      <c r="F13" s="1">
        <f>COUNTIFS(EquipRecord01[Computer Equipment],CompEquipTable01[[#This Row],[Item Name]],EquipRecord01[Status],"Working")</f>
        <v>0</v>
      </c>
      <c r="G13" s="1">
        <f>COUNTIFS(EquipRecord01[Computer Equipment],CompEquipTable01[[#This Row],[Item Name]],EquipRecord01[Status],"Not Working")</f>
        <v>0</v>
      </c>
      <c r="H13" s="1">
        <f>(CompEquipTable01[[#This Row],[Stock]])-(CompEquipTable01[[#This Row],[Used]]+CompEquipTable01[[#This Row],[Not Working]])</f>
        <v>3</v>
      </c>
    </row>
    <row r="14" spans="1:8" x14ac:dyDescent="0.25">
      <c r="A14" s="1">
        <f t="shared" si="1"/>
        <v>13</v>
      </c>
      <c r="B14" s="1" t="s">
        <v>76</v>
      </c>
      <c r="C14" s="1">
        <f>SUMIF(Equip_ReStock01[Item Name],CompEquipTable01[[#This Row],[Item Name]],Equip_ReStock01[Stock])</f>
        <v>1</v>
      </c>
      <c r="D14" s="1">
        <f>SUMIFS(EquipRecord01[Qty. Used],EquipRecord01[Computer Equipment],CompEquipTable01[[#This Row],[Item Name]],EquipRecord01[Action],"Given to User")</f>
        <v>1</v>
      </c>
      <c r="E14" s="1">
        <f>SUMIFS(EquipRecord01[Qty. Used],EquipRecord01[Computer Equipment],CompEquipTable01[[#This Row],[Item Name]],EquipRecord01[Action],"Return by User",EquipRecord01[Status],"&lt;&gt;Not Working")</f>
        <v>0</v>
      </c>
      <c r="F14" s="1">
        <f>COUNTIFS(EquipRecord01[Computer Equipment],CompEquipTable01[[#This Row],[Item Name]],EquipRecord01[Status],"Working")</f>
        <v>1</v>
      </c>
      <c r="G14" s="1">
        <f>COUNTIFS(EquipRecord01[Computer Equipment],CompEquipTable01[[#This Row],[Item Name]],EquipRecord01[Status],"Not Working")</f>
        <v>0</v>
      </c>
      <c r="H14" s="1">
        <f>(CompEquipTable01[[#This Row],[Stock]])-(CompEquipTable01[[#This Row],[Used]]+CompEquipTable01[[#This Row],[Not Working]])</f>
        <v>0</v>
      </c>
    </row>
    <row r="15" spans="1:8" x14ac:dyDescent="0.25">
      <c r="A15" s="1">
        <f t="shared" si="1"/>
        <v>14</v>
      </c>
      <c r="B15" s="1" t="s">
        <v>84</v>
      </c>
      <c r="C15" s="1">
        <f>SUMIF(Equip_ReStock01[Item Name],CompEquipTable01[[#This Row],[Item Name]],Equip_ReStock01[Stock])</f>
        <v>0</v>
      </c>
      <c r="D15" s="1">
        <f>SUMIFS(EquipRecord01[Qty. Used],EquipRecord01[Computer Equipment],CompEquipTable01[[#This Row],[Item Name]],EquipRecord01[Action],"Given to User")</f>
        <v>0</v>
      </c>
      <c r="E15" s="1">
        <f>SUMIFS(EquipRecord01[Qty. Used],EquipRecord01[Computer Equipment],CompEquipTable01[[#This Row],[Item Name]],EquipRecord01[Action],"Return by User",EquipRecord01[Status],"&lt;&gt;Not Working")</f>
        <v>0</v>
      </c>
      <c r="F15" s="1">
        <f>COUNTIFS(EquipRecord01[Computer Equipment],CompEquipTable01[[#This Row],[Item Name]],EquipRecord01[Status],"Working")</f>
        <v>0</v>
      </c>
      <c r="G15" s="1">
        <f>COUNTIFS(EquipRecord01[Computer Equipment],CompEquipTable01[[#This Row],[Item Name]],EquipRecord01[Status],"Not Working")</f>
        <v>0</v>
      </c>
      <c r="H15" s="1">
        <f>(CompEquipTable01[[#This Row],[Stock]])-(CompEquipTable01[[#This Row],[Used]]+CompEquipTable01[[#This Row],[Not Working]])</f>
        <v>0</v>
      </c>
    </row>
    <row r="16" spans="1:8" x14ac:dyDescent="0.25">
      <c r="A16" s="1">
        <f t="shared" si="1"/>
        <v>15</v>
      </c>
      <c r="B16" s="1" t="s">
        <v>85</v>
      </c>
      <c r="C16" s="1">
        <f>SUMIF(Equip_ReStock01[Item Name],CompEquipTable01[[#This Row],[Item Name]],Equip_ReStock01[Stock])</f>
        <v>5</v>
      </c>
      <c r="D16" s="1">
        <f>SUMIFS(EquipRecord01[Qty. Used],EquipRecord01[Computer Equipment],CompEquipTable01[[#This Row],[Item Name]],EquipRecord01[Action],"Given to User")</f>
        <v>0</v>
      </c>
      <c r="E16" s="1">
        <f>SUMIFS(EquipRecord01[Qty. Used],EquipRecord01[Computer Equipment],CompEquipTable01[[#This Row],[Item Name]],EquipRecord01[Action],"Return by User",EquipRecord01[Status],"&lt;&gt;Not Working")</f>
        <v>0</v>
      </c>
      <c r="F16" s="1">
        <f>COUNTIFS(EquipRecord01[Computer Equipment],CompEquipTable01[[#This Row],[Item Name]],EquipRecord01[Status],"Working")</f>
        <v>0</v>
      </c>
      <c r="G16" s="1">
        <f>COUNTIFS(EquipRecord01[Computer Equipment],CompEquipTable01[[#This Row],[Item Name]],EquipRecord01[Status],"Not Working")</f>
        <v>0</v>
      </c>
      <c r="H16" s="1">
        <f>(CompEquipTable01[[#This Row],[Stock]])-(CompEquipTable01[[#This Row],[Used]]+CompEquipTable01[[#This Row],[Not Working]])</f>
        <v>5</v>
      </c>
    </row>
    <row r="17" spans="1:8" x14ac:dyDescent="0.25">
      <c r="A17" s="1">
        <f t="shared" si="1"/>
        <v>16</v>
      </c>
      <c r="B17" s="1" t="s">
        <v>86</v>
      </c>
      <c r="C17" s="1">
        <f>SUMIF(Equip_ReStock01[Item Name],CompEquipTable01[[#This Row],[Item Name]],Equip_ReStock01[Stock])</f>
        <v>2</v>
      </c>
      <c r="D17" s="1">
        <f>SUMIFS(EquipRecord01[Qty. Used],EquipRecord01[Computer Equipment],CompEquipTable01[[#This Row],[Item Name]],EquipRecord01[Action],"Given to User")</f>
        <v>1</v>
      </c>
      <c r="E17" s="1">
        <f>SUMIFS(EquipRecord01[Qty. Used],EquipRecord01[Computer Equipment],CompEquipTable01[[#This Row],[Item Name]],EquipRecord01[Action],"Return by User",EquipRecord01[Status],"&lt;&gt;Not Working")</f>
        <v>0</v>
      </c>
      <c r="F17" s="1">
        <f>COUNTIFS(EquipRecord01[Computer Equipment],CompEquipTable01[[#This Row],[Item Name]],EquipRecord01[Status],"Working")</f>
        <v>1</v>
      </c>
      <c r="G17" s="1">
        <f>COUNTIFS(EquipRecord01[Computer Equipment],CompEquipTable01[[#This Row],[Item Name]],EquipRecord01[Status],"Not Working")</f>
        <v>0</v>
      </c>
      <c r="H17" s="1">
        <f>(CompEquipTable01[[#This Row],[Stock]])-(CompEquipTable01[[#This Row],[Used]]+CompEquipTable01[[#This Row],[Not Working]])</f>
        <v>1</v>
      </c>
    </row>
    <row r="18" spans="1:8" x14ac:dyDescent="0.25">
      <c r="A18" s="1">
        <f t="shared" si="1"/>
        <v>17</v>
      </c>
      <c r="B18" s="1" t="s">
        <v>87</v>
      </c>
      <c r="C18" s="1">
        <f>SUMIF(Equip_ReStock01[Item Name],CompEquipTable01[[#This Row],[Item Name]],Equip_ReStock01[Stock])</f>
        <v>2</v>
      </c>
      <c r="D18" s="1">
        <f>SUMIFS(EquipRecord01[Qty. Used],EquipRecord01[Computer Equipment],CompEquipTable01[[#This Row],[Item Name]],EquipRecord01[Action],"Given to User")</f>
        <v>1</v>
      </c>
      <c r="E18" s="1">
        <f>SUMIFS(EquipRecord01[Qty. Used],EquipRecord01[Computer Equipment],CompEquipTable01[[#This Row],[Item Name]],EquipRecord01[Action],"Return by User",EquipRecord01[Status],"&lt;&gt;Not Working")</f>
        <v>0</v>
      </c>
      <c r="F18" s="1">
        <f>COUNTIFS(EquipRecord01[Computer Equipment],CompEquipTable01[[#This Row],[Item Name]],EquipRecord01[Status],"Working")</f>
        <v>1</v>
      </c>
      <c r="G18" s="1">
        <f>COUNTIFS(EquipRecord01[Computer Equipment],CompEquipTable01[[#This Row],[Item Name]],EquipRecord01[Status],"Not Working")</f>
        <v>0</v>
      </c>
      <c r="H18" s="1">
        <f>(CompEquipTable01[[#This Row],[Stock]])-(CompEquipTable01[[#This Row],[Used]]+CompEquipTable01[[#This Row],[Not Working]])</f>
        <v>1</v>
      </c>
    </row>
    <row r="19" spans="1:8" x14ac:dyDescent="0.25">
      <c r="A19" s="1">
        <f t="shared" si="1"/>
        <v>18</v>
      </c>
      <c r="B19" s="1" t="s">
        <v>642</v>
      </c>
      <c r="C19" s="1">
        <f>SUMIF(Equip_ReStock01[Item Name],CompEquipTable01[[#This Row],[Item Name]],Equip_ReStock01[Stock])</f>
        <v>2</v>
      </c>
      <c r="D19" s="1">
        <f>SUMIFS(EquipRecord01[Qty. Used],EquipRecord01[Computer Equipment],CompEquipTable01[[#This Row],[Item Name]],EquipRecord01[Action],"Given to User")</f>
        <v>0</v>
      </c>
      <c r="E19" s="1">
        <f>SUMIFS(EquipRecord01[Qty. Used],EquipRecord01[Computer Equipment],CompEquipTable01[[#This Row],[Item Name]],EquipRecord01[Action],"Return by User",EquipRecord01[Status],"&lt;&gt;Not Working")</f>
        <v>0</v>
      </c>
      <c r="F19" s="1">
        <f>COUNTIFS(EquipRecord01[Computer Equipment],CompEquipTable01[[#This Row],[Item Name]],EquipRecord01[Status],"Working")</f>
        <v>0</v>
      </c>
      <c r="G19" s="1">
        <f>COUNTIFS(EquipRecord01[Computer Equipment],CompEquipTable01[[#This Row],[Item Name]],EquipRecord01[Status],"Not Working")</f>
        <v>0</v>
      </c>
      <c r="H19" s="1">
        <f>(CompEquipTable01[[#This Row],[Stock]])-(CompEquipTable01[[#This Row],[Used]]+CompEquipTable01[[#This Row],[Not Working]])</f>
        <v>2</v>
      </c>
    </row>
    <row r="20" spans="1:8" x14ac:dyDescent="0.25">
      <c r="A20" s="1">
        <f t="shared" si="1"/>
        <v>19</v>
      </c>
      <c r="B20" s="1" t="s">
        <v>11</v>
      </c>
      <c r="C20" s="1">
        <f>SUMIF(Equip_ReStock01[Item Name],CompEquipTable01[[#This Row],[Item Name]],Equip_ReStock01[Stock])</f>
        <v>0</v>
      </c>
      <c r="D20" s="1">
        <f>SUMIFS(EquipRecord01[Qty. Used],EquipRecord01[Computer Equipment],CompEquipTable01[[#This Row],[Item Name]],EquipRecord01[Action],"Given to User")</f>
        <v>0</v>
      </c>
      <c r="E20" s="1">
        <f>SUMIFS(EquipRecord01[Qty. Used],EquipRecord01[Computer Equipment],CompEquipTable01[[#This Row],[Item Name]],EquipRecord01[Action],"Return by User",EquipRecord01[Status],"&lt;&gt;Not Working")</f>
        <v>0</v>
      </c>
      <c r="F20" s="1">
        <f>COUNTIFS(EquipRecord01[Computer Equipment],CompEquipTable01[[#This Row],[Item Name]],EquipRecord01[Status],"Working")</f>
        <v>0</v>
      </c>
      <c r="G20" s="1">
        <f>COUNTIFS(EquipRecord01[Computer Equipment],CompEquipTable01[[#This Row],[Item Name]],EquipRecord01[Status],"Not Working")</f>
        <v>0</v>
      </c>
      <c r="H20" s="1">
        <f>(CompEquipTable01[[#This Row],[Stock]])-(CompEquipTable01[[#This Row],[Used]]+CompEquipTable01[[#This Row],[Not Working]])</f>
        <v>0</v>
      </c>
    </row>
    <row r="21" spans="1:8" x14ac:dyDescent="0.25">
      <c r="A21" s="1">
        <f t="shared" si="1"/>
        <v>20</v>
      </c>
      <c r="B21" s="1" t="s">
        <v>13</v>
      </c>
      <c r="C21" s="1">
        <f>SUMIF(Equip_ReStock01[Item Name],CompEquipTable01[[#This Row],[Item Name]],Equip_ReStock01[Stock])</f>
        <v>14</v>
      </c>
      <c r="D21" s="1">
        <f>SUMIFS(EquipRecord01[Qty. Used],EquipRecord01[Computer Equipment],CompEquipTable01[[#This Row],[Item Name]],EquipRecord01[Action],"Given to User")</f>
        <v>13</v>
      </c>
      <c r="E21" s="1">
        <f>SUMIFS(EquipRecord01[Qty. Used],EquipRecord01[Computer Equipment],CompEquipTable01[[#This Row],[Item Name]],EquipRecord01[Action],"Return by User",EquipRecord01[Status],"&lt;&gt;Not Working")</f>
        <v>0</v>
      </c>
      <c r="F21" s="1">
        <f>COUNTIFS(EquipRecord01[Computer Equipment],CompEquipTable01[[#This Row],[Item Name]],EquipRecord01[Status],"Working")</f>
        <v>13</v>
      </c>
      <c r="G21" s="1">
        <f>COUNTIFS(EquipRecord01[Computer Equipment],CompEquipTable01[[#This Row],[Item Name]],EquipRecord01[Status],"Not Working")</f>
        <v>0</v>
      </c>
      <c r="H21" s="1">
        <f>(CompEquipTable01[[#This Row],[Stock]])-(CompEquipTable01[[#This Row],[Used]]+CompEquipTable01[[#This Row],[Not Working]])</f>
        <v>1</v>
      </c>
    </row>
  </sheetData>
  <dataValidations count="1">
    <dataValidation type="list" allowBlank="1" showInputMessage="1" sqref="B2:B21" xr:uid="{B6E832DE-3F0D-4307-B51B-0F2916D7CD8A}">
      <formula1>INDIRECT("CompEquip01[Computer Equipment]")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0C02A-FF08-41C5-A154-85886B6A486F}">
  <dimension ref="A1:I47"/>
  <sheetViews>
    <sheetView topLeftCell="A32" workbookViewId="0">
      <selection activeCell="I47" sqref="I47"/>
    </sheetView>
  </sheetViews>
  <sheetFormatPr defaultRowHeight="15" x14ac:dyDescent="0.25"/>
  <cols>
    <col min="1" max="1" width="11.5703125" style="8" bestFit="1" customWidth="1"/>
    <col min="2" max="2" width="10.42578125" style="9" bestFit="1" customWidth="1"/>
    <col min="3" max="3" width="29.7109375" style="8" bestFit="1" customWidth="1"/>
    <col min="4" max="4" width="20.85546875" style="8" bestFit="1" customWidth="1"/>
    <col min="5" max="5" width="25.28515625" style="8" bestFit="1" customWidth="1"/>
    <col min="6" max="6" width="14.28515625" style="8" bestFit="1" customWidth="1"/>
    <col min="7" max="7" width="12.42578125" style="8" bestFit="1" customWidth="1"/>
    <col min="8" max="8" width="11.28515625" style="8" bestFit="1" customWidth="1"/>
    <col min="9" max="9" width="47.85546875" style="8" bestFit="1" customWidth="1"/>
    <col min="10" max="10" width="28.5703125" style="8" customWidth="1"/>
    <col min="11" max="11" width="26.28515625" style="8" bestFit="1" customWidth="1"/>
    <col min="12" max="16384" width="9.140625" style="8"/>
  </cols>
  <sheetData>
    <row r="1" spans="1:9" x14ac:dyDescent="0.25">
      <c r="A1" s="8" t="s">
        <v>47</v>
      </c>
      <c r="B1" s="9" t="s">
        <v>63</v>
      </c>
      <c r="C1" s="8" t="s">
        <v>64</v>
      </c>
      <c r="D1" s="8" t="s">
        <v>65</v>
      </c>
      <c r="E1" s="8" t="s">
        <v>2</v>
      </c>
      <c r="F1" s="8" t="s">
        <v>52</v>
      </c>
      <c r="G1" s="8" t="s">
        <v>66</v>
      </c>
      <c r="H1" s="8" t="s">
        <v>67</v>
      </c>
      <c r="I1" s="8" t="s">
        <v>77</v>
      </c>
    </row>
    <row r="2" spans="1:9" x14ac:dyDescent="0.25">
      <c r="A2" s="8">
        <f t="shared" ref="A2:A10" si="0">ROW()-ROW($A$1)</f>
        <v>1</v>
      </c>
      <c r="B2" s="9" t="s">
        <v>58</v>
      </c>
      <c r="C2" s="8" t="s">
        <v>189</v>
      </c>
      <c r="D2" s="8" t="str">
        <f>IFERROR(VLOOKUP(EquipRecord01[[#This Row],[Name]],EmpDetails!$B:$D,2,FALSE),"")</f>
        <v>Accounts</v>
      </c>
      <c r="E2" s="8" t="s">
        <v>13</v>
      </c>
      <c r="F2" s="8">
        <v>1</v>
      </c>
      <c r="G2" s="8" t="s">
        <v>68</v>
      </c>
      <c r="H2" s="8" t="s">
        <v>61</v>
      </c>
    </row>
    <row r="3" spans="1:9" x14ac:dyDescent="0.25">
      <c r="A3" s="8">
        <f t="shared" si="0"/>
        <v>2</v>
      </c>
      <c r="B3" s="9" t="s">
        <v>58</v>
      </c>
      <c r="C3" s="8" t="s">
        <v>468</v>
      </c>
      <c r="D3" s="8" t="str">
        <f>IFERROR(VLOOKUP(EquipRecord01[[#This Row],[Name]],EmpDetails!$B:$D,2,FALSE),"")</f>
        <v>Maintenance</v>
      </c>
      <c r="E3" s="8" t="s">
        <v>13</v>
      </c>
      <c r="F3" s="8">
        <v>1</v>
      </c>
      <c r="G3" s="8" t="s">
        <v>68</v>
      </c>
      <c r="H3" s="8" t="s">
        <v>61</v>
      </c>
      <c r="I3" s="8" t="s">
        <v>80</v>
      </c>
    </row>
    <row r="4" spans="1:9" x14ac:dyDescent="0.25">
      <c r="A4" s="8">
        <f t="shared" si="0"/>
        <v>3</v>
      </c>
      <c r="B4" s="9" t="s">
        <v>69</v>
      </c>
      <c r="C4" s="8" t="s">
        <v>70</v>
      </c>
      <c r="D4" s="8" t="s">
        <v>12</v>
      </c>
      <c r="E4" s="8" t="s">
        <v>13</v>
      </c>
      <c r="F4" s="8">
        <v>1</v>
      </c>
      <c r="G4" s="8" t="s">
        <v>68</v>
      </c>
      <c r="H4" s="8" t="s">
        <v>61</v>
      </c>
      <c r="I4" s="8" t="s">
        <v>80</v>
      </c>
    </row>
    <row r="5" spans="1:9" x14ac:dyDescent="0.25">
      <c r="A5" s="8">
        <f t="shared" si="0"/>
        <v>4</v>
      </c>
      <c r="B5" s="9">
        <v>45561</v>
      </c>
      <c r="C5" s="8" t="s">
        <v>472</v>
      </c>
      <c r="D5" s="8" t="str">
        <f>IFERROR(VLOOKUP(EquipRecord01[[#This Row],[Name]],EmpDetails!$B:$D,2,FALSE),"")</f>
        <v>Technical Services</v>
      </c>
      <c r="E5" s="8" t="s">
        <v>13</v>
      </c>
      <c r="F5" s="8">
        <v>1</v>
      </c>
      <c r="G5" s="8" t="s">
        <v>68</v>
      </c>
      <c r="H5" s="8" t="s">
        <v>61</v>
      </c>
      <c r="I5" s="8" t="s">
        <v>80</v>
      </c>
    </row>
    <row r="6" spans="1:9" x14ac:dyDescent="0.25">
      <c r="A6" s="8">
        <f t="shared" si="0"/>
        <v>5</v>
      </c>
      <c r="B6" s="9">
        <v>45629</v>
      </c>
      <c r="C6" s="8" t="s">
        <v>200</v>
      </c>
      <c r="D6" s="8" t="str">
        <f>IFERROR(VLOOKUP(EquipRecord01[[#This Row],[Name]],EmpDetails!$B:$D,2,FALSE),"")</f>
        <v>HR</v>
      </c>
      <c r="E6" s="8" t="s">
        <v>13</v>
      </c>
      <c r="F6" s="8">
        <v>1</v>
      </c>
      <c r="G6" s="8" t="s">
        <v>68</v>
      </c>
      <c r="H6" s="8" t="s">
        <v>61</v>
      </c>
      <c r="I6" s="8" t="s">
        <v>80</v>
      </c>
    </row>
    <row r="7" spans="1:9" x14ac:dyDescent="0.25">
      <c r="A7" s="8">
        <f t="shared" si="0"/>
        <v>6</v>
      </c>
      <c r="B7" s="9" t="s">
        <v>71</v>
      </c>
      <c r="C7" s="8" t="s">
        <v>323</v>
      </c>
      <c r="D7" s="8" t="str">
        <f>IFERROR(VLOOKUP(EquipRecord01[[#This Row],[Name]],EmpDetails!$B:$D,2,FALSE),"")</f>
        <v>Quality Assurance</v>
      </c>
      <c r="E7" s="8" t="s">
        <v>5</v>
      </c>
      <c r="F7" s="8">
        <v>1</v>
      </c>
      <c r="G7" s="8" t="s">
        <v>68</v>
      </c>
      <c r="H7" s="8" t="s">
        <v>61</v>
      </c>
      <c r="I7" s="8" t="s">
        <v>80</v>
      </c>
    </row>
    <row r="8" spans="1:9" x14ac:dyDescent="0.25">
      <c r="A8" s="8">
        <f t="shared" si="0"/>
        <v>7</v>
      </c>
      <c r="B8" s="9" t="s">
        <v>71</v>
      </c>
      <c r="C8" s="8" t="s">
        <v>419</v>
      </c>
      <c r="D8" s="8" t="str">
        <f>IFERROR(VLOOKUP(EquipRecord01[[#This Row],[Name]],EmpDetails!$B:$D,2,FALSE),"")</f>
        <v>Production</v>
      </c>
      <c r="E8" s="8" t="s">
        <v>5</v>
      </c>
      <c r="F8" s="8">
        <v>1</v>
      </c>
      <c r="G8" s="8" t="s">
        <v>68</v>
      </c>
      <c r="H8" s="8" t="s">
        <v>61</v>
      </c>
      <c r="I8" s="8" t="s">
        <v>80</v>
      </c>
    </row>
    <row r="9" spans="1:9" x14ac:dyDescent="0.25">
      <c r="A9" s="8">
        <f t="shared" si="0"/>
        <v>8</v>
      </c>
      <c r="B9" s="9" t="s">
        <v>72</v>
      </c>
      <c r="C9" s="8" t="s">
        <v>73</v>
      </c>
      <c r="D9" s="8" t="s">
        <v>40</v>
      </c>
      <c r="E9" s="8" t="s">
        <v>8</v>
      </c>
      <c r="F9" s="8">
        <v>1</v>
      </c>
      <c r="G9" s="8" t="s">
        <v>68</v>
      </c>
      <c r="H9" s="8" t="s">
        <v>61</v>
      </c>
      <c r="I9" s="8" t="s">
        <v>80</v>
      </c>
    </row>
    <row r="10" spans="1:9" x14ac:dyDescent="0.25">
      <c r="A10" s="8">
        <f t="shared" si="0"/>
        <v>9</v>
      </c>
      <c r="B10" s="9">
        <v>45639</v>
      </c>
      <c r="C10" s="8" t="s">
        <v>413</v>
      </c>
      <c r="D10" s="8" t="str">
        <f>IFERROR(VLOOKUP(EquipRecord01[[#This Row],[Name]],EmpDetails!$B:$D,2,FALSE),"")</f>
        <v>Maintenance</v>
      </c>
      <c r="E10" s="8" t="s">
        <v>8</v>
      </c>
      <c r="F10" s="8">
        <v>1</v>
      </c>
      <c r="G10" s="8" t="s">
        <v>68</v>
      </c>
      <c r="H10" s="8" t="s">
        <v>61</v>
      </c>
      <c r="I10" s="8" t="s">
        <v>80</v>
      </c>
    </row>
    <row r="11" spans="1:9" x14ac:dyDescent="0.25">
      <c r="A11" s="8">
        <f t="shared" ref="A11:A15" si="1">ROW()-ROW($A$1)</f>
        <v>10</v>
      </c>
      <c r="B11" s="9">
        <v>45642</v>
      </c>
      <c r="C11" s="8" t="s">
        <v>113</v>
      </c>
      <c r="D11" s="8" t="str">
        <f>IFERROR(VLOOKUP(EquipRecord01[[#This Row],[Name]],EmpDetails!$B:$D,2,FALSE),"")</f>
        <v>Electrical</v>
      </c>
      <c r="E11" s="8" t="s">
        <v>8</v>
      </c>
      <c r="F11" s="8">
        <v>1</v>
      </c>
      <c r="G11" s="8" t="s">
        <v>68</v>
      </c>
      <c r="H11" s="8" t="s">
        <v>61</v>
      </c>
      <c r="I11" s="8" t="s">
        <v>80</v>
      </c>
    </row>
    <row r="12" spans="1:9" x14ac:dyDescent="0.25">
      <c r="A12" s="8">
        <f t="shared" si="1"/>
        <v>11</v>
      </c>
      <c r="B12" s="9">
        <v>45651</v>
      </c>
      <c r="C12" s="8" t="s">
        <v>148</v>
      </c>
      <c r="D12" s="8" t="str">
        <f>IFERROR(VLOOKUP(EquipRecord01[[#This Row],[Name]],EmpDetails!$B:$D,2,FALSE),"")</f>
        <v>Quality Control</v>
      </c>
      <c r="E12" s="8" t="s">
        <v>13</v>
      </c>
      <c r="F12" s="8">
        <v>1</v>
      </c>
      <c r="G12" s="8" t="s">
        <v>68</v>
      </c>
      <c r="H12" s="8" t="s">
        <v>61</v>
      </c>
      <c r="I12" s="8" t="s">
        <v>80</v>
      </c>
    </row>
    <row r="13" spans="1:9" x14ac:dyDescent="0.25">
      <c r="A13" s="8">
        <f t="shared" si="1"/>
        <v>12</v>
      </c>
      <c r="B13" s="9">
        <v>45653</v>
      </c>
      <c r="C13" s="8" t="s">
        <v>395</v>
      </c>
      <c r="D13" s="8" t="str">
        <f>IFERROR(VLOOKUP(EquipRecord01[[#This Row],[Name]],EmpDetails!$B:$D,2,FALSE),"")</f>
        <v>EHS</v>
      </c>
      <c r="E13" s="8" t="s">
        <v>13</v>
      </c>
      <c r="F13" s="8">
        <v>1</v>
      </c>
      <c r="G13" s="8" t="s">
        <v>68</v>
      </c>
      <c r="H13" s="8" t="s">
        <v>61</v>
      </c>
      <c r="I13" s="8" t="s">
        <v>80</v>
      </c>
    </row>
    <row r="14" spans="1:9" x14ac:dyDescent="0.25">
      <c r="A14" s="10">
        <f t="shared" si="1"/>
        <v>13</v>
      </c>
      <c r="B14" s="11">
        <v>45667</v>
      </c>
      <c r="C14" s="10" t="s">
        <v>200</v>
      </c>
      <c r="D14" s="10" t="str">
        <f>IFERROR(VLOOKUP(EquipRecord01[[#This Row],[Name]],EmpDetails!$B:$D,2,FALSE),"")</f>
        <v>HR</v>
      </c>
      <c r="E14" s="10" t="s">
        <v>13</v>
      </c>
      <c r="F14" s="10">
        <v>1</v>
      </c>
      <c r="G14" s="10" t="s">
        <v>68</v>
      </c>
      <c r="H14" s="10" t="s">
        <v>61</v>
      </c>
      <c r="I14" s="10" t="s">
        <v>78</v>
      </c>
    </row>
    <row r="15" spans="1:9" x14ac:dyDescent="0.25">
      <c r="A15" s="8">
        <f t="shared" si="1"/>
        <v>14</v>
      </c>
      <c r="B15" s="9">
        <v>45707</v>
      </c>
      <c r="C15" s="8" t="s">
        <v>552</v>
      </c>
      <c r="D15" s="8" t="str">
        <f>IFERROR(VLOOKUP(EquipRecord01[[#This Row],[Name]],EmpDetails!$B:$D,2,FALSE),"")</f>
        <v>Technical Services</v>
      </c>
      <c r="E15" s="8" t="s">
        <v>13</v>
      </c>
      <c r="F15" s="8">
        <v>1</v>
      </c>
      <c r="G15" s="8" t="s">
        <v>68</v>
      </c>
      <c r="H15" s="8" t="s">
        <v>61</v>
      </c>
    </row>
    <row r="16" spans="1:9" x14ac:dyDescent="0.25">
      <c r="A16" s="8">
        <f t="shared" ref="A16:A21" si="2">ROW()-ROW($A$1)</f>
        <v>15</v>
      </c>
      <c r="B16" s="9">
        <v>45712</v>
      </c>
      <c r="C16" s="8" t="s">
        <v>554</v>
      </c>
      <c r="D16" s="8" t="str">
        <f>IFERROR(VLOOKUP(EquipRecord01[[#This Row],[Name]],EmpDetails!$B:$D,2,FALSE),"")</f>
        <v>Production</v>
      </c>
      <c r="E16" s="8" t="s">
        <v>13</v>
      </c>
      <c r="F16" s="8">
        <v>1</v>
      </c>
      <c r="G16" s="8" t="s">
        <v>68</v>
      </c>
      <c r="H16" s="8" t="s">
        <v>61</v>
      </c>
    </row>
    <row r="17" spans="1:9" x14ac:dyDescent="0.25">
      <c r="A17" s="8">
        <f t="shared" si="2"/>
        <v>16</v>
      </c>
      <c r="B17" s="9">
        <v>45713</v>
      </c>
      <c r="C17" s="8" t="s">
        <v>448</v>
      </c>
      <c r="D17" s="8" t="str">
        <f>IFERROR(VLOOKUP(EquipRecord01[[#This Row],[Name]],EmpDetails!$B:$D,2,FALSE),"")</f>
        <v>EHS</v>
      </c>
      <c r="E17" s="8" t="s">
        <v>5</v>
      </c>
      <c r="F17" s="8">
        <v>1</v>
      </c>
      <c r="G17" s="8" t="s">
        <v>68</v>
      </c>
      <c r="H17" s="8" t="s">
        <v>61</v>
      </c>
      <c r="I17" s="8" t="s">
        <v>80</v>
      </c>
    </row>
    <row r="18" spans="1:9" x14ac:dyDescent="0.25">
      <c r="A18" s="8">
        <f t="shared" si="2"/>
        <v>17</v>
      </c>
      <c r="B18" s="9">
        <v>45713</v>
      </c>
      <c r="C18" s="8" t="s">
        <v>74</v>
      </c>
      <c r="D18" s="8" t="s">
        <v>35</v>
      </c>
      <c r="E18" s="8" t="s">
        <v>5</v>
      </c>
      <c r="F18" s="8">
        <v>1</v>
      </c>
      <c r="G18" s="8" t="s">
        <v>68</v>
      </c>
      <c r="H18" s="8" t="s">
        <v>61</v>
      </c>
      <c r="I18" s="8" t="s">
        <v>80</v>
      </c>
    </row>
    <row r="19" spans="1:9" x14ac:dyDescent="0.25">
      <c r="A19" s="8">
        <f t="shared" si="2"/>
        <v>18</v>
      </c>
      <c r="B19" s="9">
        <v>45713</v>
      </c>
      <c r="C19" s="8" t="s">
        <v>74</v>
      </c>
      <c r="D19" s="8" t="s">
        <v>35</v>
      </c>
      <c r="E19" s="8" t="s">
        <v>8</v>
      </c>
      <c r="F19" s="8">
        <v>2</v>
      </c>
      <c r="G19" s="8" t="s">
        <v>68</v>
      </c>
      <c r="H19" s="8" t="s">
        <v>61</v>
      </c>
      <c r="I19" s="8" t="s">
        <v>80</v>
      </c>
    </row>
    <row r="20" spans="1:9" x14ac:dyDescent="0.25">
      <c r="A20" s="8">
        <f t="shared" si="2"/>
        <v>19</v>
      </c>
      <c r="B20" s="9">
        <v>45715</v>
      </c>
      <c r="C20" s="8" t="s">
        <v>75</v>
      </c>
      <c r="D20" s="8" t="s">
        <v>3</v>
      </c>
      <c r="E20" s="8" t="s">
        <v>5</v>
      </c>
      <c r="F20" s="8">
        <v>1</v>
      </c>
      <c r="G20" s="8" t="s">
        <v>68</v>
      </c>
      <c r="H20" s="8" t="s">
        <v>61</v>
      </c>
      <c r="I20" s="8" t="s">
        <v>80</v>
      </c>
    </row>
    <row r="21" spans="1:9" x14ac:dyDescent="0.25">
      <c r="A21" s="8">
        <f t="shared" si="2"/>
        <v>20</v>
      </c>
      <c r="B21" s="9">
        <v>45715</v>
      </c>
      <c r="C21" s="8" t="s">
        <v>75</v>
      </c>
      <c r="D21" s="8" t="s">
        <v>3</v>
      </c>
      <c r="E21" s="8" t="s">
        <v>8</v>
      </c>
      <c r="F21" s="8">
        <v>1</v>
      </c>
      <c r="G21" s="8" t="s">
        <v>68</v>
      </c>
      <c r="H21" s="8" t="s">
        <v>61</v>
      </c>
      <c r="I21" s="8" t="s">
        <v>80</v>
      </c>
    </row>
    <row r="22" spans="1:9" x14ac:dyDescent="0.25">
      <c r="A22" s="8">
        <f t="shared" ref="A22:A27" si="3">ROW()-ROW($A$1)</f>
        <v>21</v>
      </c>
      <c r="B22" s="9">
        <v>45715</v>
      </c>
      <c r="C22" s="8" t="s">
        <v>542</v>
      </c>
      <c r="D22" s="8" t="str">
        <f>IFERROR(VLOOKUP(EquipRecord01[[#This Row],[Name]],EmpDetails!$B:$D,2,FALSE),"")</f>
        <v>Technical Services</v>
      </c>
      <c r="E22" s="8" t="s">
        <v>8</v>
      </c>
      <c r="F22" s="8">
        <v>1</v>
      </c>
      <c r="G22" s="8" t="s">
        <v>68</v>
      </c>
      <c r="H22" s="8" t="s">
        <v>61</v>
      </c>
      <c r="I22" s="8" t="s">
        <v>80</v>
      </c>
    </row>
    <row r="23" spans="1:9" x14ac:dyDescent="0.25">
      <c r="A23" s="8">
        <f t="shared" si="3"/>
        <v>22</v>
      </c>
      <c r="B23" s="9">
        <v>45715</v>
      </c>
      <c r="C23" s="8" t="s">
        <v>476</v>
      </c>
      <c r="D23" s="8" t="str">
        <f>IFERROR(VLOOKUP(EquipRecord01[[#This Row],[Name]],EmpDetails!$B:$D,2,FALSE),"")</f>
        <v>Instrument</v>
      </c>
      <c r="E23" s="8" t="s">
        <v>8</v>
      </c>
      <c r="F23" s="8">
        <v>1</v>
      </c>
      <c r="G23" s="8" t="s">
        <v>68</v>
      </c>
      <c r="H23" s="8" t="s">
        <v>61</v>
      </c>
      <c r="I23" s="8" t="s">
        <v>80</v>
      </c>
    </row>
    <row r="24" spans="1:9" x14ac:dyDescent="0.25">
      <c r="A24" s="8">
        <f t="shared" si="3"/>
        <v>23</v>
      </c>
      <c r="B24" s="9">
        <v>45715</v>
      </c>
      <c r="C24" s="8" t="s">
        <v>110</v>
      </c>
      <c r="D24" s="8" t="str">
        <f>IFERROR(VLOOKUP(EquipRecord01[[#This Row],[Name]],EmpDetails!$B:$D,2,FALSE),"")</f>
        <v>Electrical</v>
      </c>
      <c r="E24" s="8" t="s">
        <v>8</v>
      </c>
      <c r="F24" s="8">
        <v>1</v>
      </c>
      <c r="G24" s="8" t="s">
        <v>68</v>
      </c>
      <c r="H24" s="8" t="s">
        <v>61</v>
      </c>
      <c r="I24" s="8" t="s">
        <v>80</v>
      </c>
    </row>
    <row r="25" spans="1:9" x14ac:dyDescent="0.25">
      <c r="A25" s="8">
        <f t="shared" si="3"/>
        <v>24</v>
      </c>
      <c r="B25" s="9">
        <v>45749</v>
      </c>
      <c r="C25" s="8" t="s">
        <v>634</v>
      </c>
      <c r="D25" s="8" t="s">
        <v>12</v>
      </c>
      <c r="E25" s="8" t="s">
        <v>76</v>
      </c>
      <c r="F25" s="8">
        <v>1</v>
      </c>
      <c r="G25" s="8" t="s">
        <v>68</v>
      </c>
      <c r="H25" s="8" t="s">
        <v>61</v>
      </c>
      <c r="I25" s="8" t="s">
        <v>80</v>
      </c>
    </row>
    <row r="26" spans="1:9" x14ac:dyDescent="0.25">
      <c r="A26" s="8">
        <f t="shared" si="3"/>
        <v>25</v>
      </c>
      <c r="B26" s="9">
        <v>45755</v>
      </c>
      <c r="C26" s="8" t="s">
        <v>73</v>
      </c>
      <c r="D26" s="8" t="s">
        <v>40</v>
      </c>
      <c r="E26" s="8" t="s">
        <v>8</v>
      </c>
      <c r="F26" s="8">
        <v>1</v>
      </c>
      <c r="G26" s="8" t="s">
        <v>68</v>
      </c>
      <c r="H26" s="8" t="s">
        <v>61</v>
      </c>
      <c r="I26" s="8" t="s">
        <v>80</v>
      </c>
    </row>
    <row r="27" spans="1:9" x14ac:dyDescent="0.25">
      <c r="A27" s="8">
        <f t="shared" si="3"/>
        <v>26</v>
      </c>
      <c r="B27" s="9">
        <v>45779</v>
      </c>
      <c r="C27" s="8" t="s">
        <v>470</v>
      </c>
      <c r="D27" s="8" t="str">
        <f>IFERROR(VLOOKUP(EquipRecord01[[#This Row],[Name]],EmpDetails!$B:$D,2,FALSE),"")</f>
        <v>Utility</v>
      </c>
      <c r="E27" s="8" t="s">
        <v>8</v>
      </c>
      <c r="F27" s="8">
        <v>1</v>
      </c>
      <c r="G27" s="8" t="s">
        <v>68</v>
      </c>
      <c r="H27" s="8" t="s">
        <v>61</v>
      </c>
      <c r="I27" s="8" t="s">
        <v>80</v>
      </c>
    </row>
    <row r="28" spans="1:9" x14ac:dyDescent="0.25">
      <c r="A28" s="8">
        <f t="shared" ref="A28:A33" si="4">ROW()-ROW($A$1)</f>
        <v>27</v>
      </c>
      <c r="B28" s="9">
        <v>45806</v>
      </c>
      <c r="C28" s="8" t="s">
        <v>155</v>
      </c>
      <c r="D28" s="8" t="str">
        <f>IFERROR(VLOOKUP(EquipRecord01[[#This Row],[Name]],EmpDetails!$B:$D,2,FALSE),"")</f>
        <v>Accounts</v>
      </c>
      <c r="E28" s="8" t="s">
        <v>8</v>
      </c>
      <c r="F28" s="8">
        <v>1</v>
      </c>
      <c r="G28" s="8" t="s">
        <v>68</v>
      </c>
      <c r="H28" s="8" t="s">
        <v>61</v>
      </c>
      <c r="I28" s="8" t="s">
        <v>80</v>
      </c>
    </row>
    <row r="29" spans="1:9" x14ac:dyDescent="0.25">
      <c r="A29" s="8">
        <f t="shared" si="4"/>
        <v>28</v>
      </c>
      <c r="B29" s="9">
        <v>45780</v>
      </c>
      <c r="C29" s="8" t="s">
        <v>79</v>
      </c>
      <c r="D29" s="8" t="s">
        <v>20</v>
      </c>
      <c r="E29" s="8" t="s">
        <v>8</v>
      </c>
      <c r="F29" s="8">
        <v>1</v>
      </c>
      <c r="G29" s="8" t="s">
        <v>68</v>
      </c>
      <c r="H29" s="8" t="s">
        <v>61</v>
      </c>
      <c r="I29" s="8" t="s">
        <v>80</v>
      </c>
    </row>
    <row r="30" spans="1:9" x14ac:dyDescent="0.25">
      <c r="A30" s="8">
        <f t="shared" si="4"/>
        <v>29</v>
      </c>
      <c r="B30" s="9">
        <v>45873</v>
      </c>
      <c r="C30" s="8" t="s">
        <v>323</v>
      </c>
      <c r="D30" s="8" t="str">
        <f>IFERROR(VLOOKUP(EquipRecord01[[#This Row],[Name]],EmpDetails!$B:$D,2,FALSE),"")</f>
        <v>Quality Assurance</v>
      </c>
      <c r="E30" s="8" t="s">
        <v>5</v>
      </c>
      <c r="F30" s="8">
        <v>2</v>
      </c>
      <c r="G30" s="8" t="s">
        <v>68</v>
      </c>
      <c r="H30" s="8" t="s">
        <v>61</v>
      </c>
      <c r="I30" s="8" t="s">
        <v>80</v>
      </c>
    </row>
    <row r="31" spans="1:9" x14ac:dyDescent="0.25">
      <c r="A31" s="8">
        <f t="shared" si="4"/>
        <v>30</v>
      </c>
      <c r="B31" s="9">
        <v>45874</v>
      </c>
      <c r="C31" s="8" t="s">
        <v>348</v>
      </c>
      <c r="D31" s="8" t="str">
        <f>IFERROR(VLOOKUP(EquipRecord01[[#This Row],[Name]],EmpDetails!$B:$D,2,FALSE),"")</f>
        <v>Technical Services</v>
      </c>
      <c r="E31" s="8" t="s">
        <v>5</v>
      </c>
      <c r="F31" s="8">
        <v>1</v>
      </c>
      <c r="G31" s="8" t="s">
        <v>68</v>
      </c>
      <c r="H31" s="8" t="s">
        <v>61</v>
      </c>
      <c r="I31" s="8" t="s">
        <v>80</v>
      </c>
    </row>
    <row r="32" spans="1:9" x14ac:dyDescent="0.25">
      <c r="A32" s="8">
        <f>ROW()-ROW($A$1)</f>
        <v>31</v>
      </c>
      <c r="B32" s="9">
        <v>45874</v>
      </c>
      <c r="C32" s="8" t="s">
        <v>452</v>
      </c>
      <c r="D32" s="8" t="str">
        <f>IFERROR(VLOOKUP(EquipRecord01[[#This Row],[Name]],EmpDetails!$B:$D,2,FALSE),"")</f>
        <v>Purchase</v>
      </c>
      <c r="E32" s="8" t="s">
        <v>86</v>
      </c>
      <c r="F32" s="8">
        <v>1</v>
      </c>
      <c r="G32" s="8" t="s">
        <v>68</v>
      </c>
      <c r="H32" s="8" t="s">
        <v>61</v>
      </c>
    </row>
    <row r="33" spans="1:9" x14ac:dyDescent="0.25">
      <c r="A33" s="8">
        <f t="shared" si="4"/>
        <v>32</v>
      </c>
      <c r="B33" s="9">
        <v>45875</v>
      </c>
      <c r="C33" s="8" t="s">
        <v>630</v>
      </c>
      <c r="D33" s="8" t="str">
        <f>IFERROR(VLOOKUP(EquipRecord01[[#This Row],[Name]],EmpDetails!$B:$D,2,FALSE),"")</f>
        <v>HR</v>
      </c>
      <c r="E33" s="8" t="s">
        <v>88</v>
      </c>
      <c r="F33" s="8">
        <v>1</v>
      </c>
      <c r="G33" s="8" t="s">
        <v>68</v>
      </c>
      <c r="H33" s="8" t="s">
        <v>61</v>
      </c>
      <c r="I33" s="8" t="s">
        <v>89</v>
      </c>
    </row>
    <row r="34" spans="1:9" x14ac:dyDescent="0.25">
      <c r="A34" s="8">
        <f t="shared" ref="A34:A41" si="5">ROW()-ROW($A$1)</f>
        <v>33</v>
      </c>
      <c r="B34" s="9">
        <v>45876</v>
      </c>
      <c r="C34" s="8" t="s">
        <v>90</v>
      </c>
      <c r="D34" s="8" t="s">
        <v>37</v>
      </c>
      <c r="E34" s="8" t="s">
        <v>5</v>
      </c>
      <c r="F34" s="8">
        <v>1</v>
      </c>
      <c r="G34" s="8" t="s">
        <v>68</v>
      </c>
      <c r="H34" s="8" t="s">
        <v>61</v>
      </c>
      <c r="I34" s="8" t="s">
        <v>80</v>
      </c>
    </row>
    <row r="35" spans="1:9" x14ac:dyDescent="0.25">
      <c r="A35" s="8">
        <f t="shared" si="5"/>
        <v>34</v>
      </c>
      <c r="B35" s="9">
        <v>45876</v>
      </c>
      <c r="C35" s="8" t="s">
        <v>91</v>
      </c>
      <c r="D35" s="8" t="s">
        <v>28</v>
      </c>
      <c r="E35" s="8" t="s">
        <v>5</v>
      </c>
      <c r="F35" s="8">
        <v>1</v>
      </c>
      <c r="G35" s="8" t="s">
        <v>68</v>
      </c>
      <c r="H35" s="8" t="s">
        <v>61</v>
      </c>
      <c r="I35" s="8" t="s">
        <v>80</v>
      </c>
    </row>
    <row r="36" spans="1:9" x14ac:dyDescent="0.25">
      <c r="A36" s="8">
        <f t="shared" si="5"/>
        <v>35</v>
      </c>
      <c r="B36" s="9">
        <v>45882</v>
      </c>
      <c r="C36" s="8" t="s">
        <v>270</v>
      </c>
      <c r="D36" s="8" t="str">
        <f>IFERROR(VLOOKUP(EquipRecord01[[#This Row],[Name]],EmpDetails!$B:$D,2,FALSE),"")</f>
        <v>Maintenance</v>
      </c>
      <c r="E36" s="8" t="s">
        <v>5</v>
      </c>
      <c r="F36" s="8">
        <v>1</v>
      </c>
      <c r="G36" s="8" t="s">
        <v>68</v>
      </c>
      <c r="H36" s="8" t="s">
        <v>61</v>
      </c>
      <c r="I36" s="8" t="s">
        <v>80</v>
      </c>
    </row>
    <row r="37" spans="1:9" x14ac:dyDescent="0.25">
      <c r="A37" s="8">
        <f t="shared" si="5"/>
        <v>36</v>
      </c>
      <c r="B37" s="9">
        <v>45882</v>
      </c>
      <c r="C37" s="8" t="s">
        <v>315</v>
      </c>
      <c r="D37" s="8" t="str">
        <f>IFERROR(VLOOKUP(EquipRecord01[[#This Row],[Name]],EmpDetails!$B:$D,2,FALSE),"")</f>
        <v>Project</v>
      </c>
      <c r="E37" s="8" t="s">
        <v>5</v>
      </c>
      <c r="F37" s="8">
        <v>1</v>
      </c>
      <c r="G37" s="8" t="s">
        <v>68</v>
      </c>
      <c r="H37" s="8" t="s">
        <v>61</v>
      </c>
      <c r="I37" s="8" t="s">
        <v>80</v>
      </c>
    </row>
    <row r="38" spans="1:9" x14ac:dyDescent="0.25">
      <c r="A38" s="8">
        <f t="shared" si="5"/>
        <v>37</v>
      </c>
      <c r="B38" s="9">
        <v>45882</v>
      </c>
      <c r="C38" s="8" t="s">
        <v>315</v>
      </c>
      <c r="D38" s="8" t="str">
        <f>IFERROR(VLOOKUP(EquipRecord01[[#This Row],[Name]],EmpDetails!$B:$D,2,FALSE),"")</f>
        <v>Project</v>
      </c>
      <c r="E38" s="8" t="s">
        <v>87</v>
      </c>
      <c r="F38" s="8">
        <v>1</v>
      </c>
      <c r="G38" s="8" t="s">
        <v>68</v>
      </c>
      <c r="H38" s="8" t="s">
        <v>61</v>
      </c>
    </row>
    <row r="39" spans="1:9" x14ac:dyDescent="0.25">
      <c r="A39" s="8">
        <f t="shared" si="5"/>
        <v>38</v>
      </c>
      <c r="B39" s="9">
        <v>45888</v>
      </c>
      <c r="C39" s="8" t="s">
        <v>648</v>
      </c>
      <c r="D39" s="8" t="s">
        <v>28</v>
      </c>
      <c r="E39" s="8" t="s">
        <v>8</v>
      </c>
      <c r="F39" s="8">
        <v>1</v>
      </c>
      <c r="G39" s="8" t="s">
        <v>68</v>
      </c>
      <c r="H39" s="8" t="s">
        <v>61</v>
      </c>
      <c r="I39" s="8" t="s">
        <v>80</v>
      </c>
    </row>
    <row r="40" spans="1:9" x14ac:dyDescent="0.25">
      <c r="A40" s="8">
        <f t="shared" si="5"/>
        <v>39</v>
      </c>
      <c r="B40" s="9">
        <v>45888</v>
      </c>
      <c r="C40" s="8" t="s">
        <v>10</v>
      </c>
      <c r="D40" s="8" t="s">
        <v>10</v>
      </c>
      <c r="E40" s="8" t="s">
        <v>8</v>
      </c>
      <c r="F40" s="8">
        <v>1</v>
      </c>
      <c r="G40" s="8" t="s">
        <v>68</v>
      </c>
      <c r="H40" s="8" t="s">
        <v>61</v>
      </c>
      <c r="I40" s="8" t="s">
        <v>80</v>
      </c>
    </row>
    <row r="41" spans="1:9" ht="30" x14ac:dyDescent="0.25">
      <c r="A41" s="8">
        <f t="shared" si="5"/>
        <v>40</v>
      </c>
      <c r="B41" s="9">
        <v>45888</v>
      </c>
      <c r="C41" s="8" t="s">
        <v>146</v>
      </c>
      <c r="D41" s="8" t="str">
        <f>IFERROR(VLOOKUP(EquipRecord01[[#This Row],[Name]],EmpDetails!$B:$D,2,FALSE),"")</f>
        <v>QC &amp; QA</v>
      </c>
      <c r="E41" s="8" t="s">
        <v>640</v>
      </c>
      <c r="F41" s="8">
        <v>1</v>
      </c>
      <c r="G41" s="8" t="s">
        <v>68</v>
      </c>
      <c r="H41" s="8" t="s">
        <v>61</v>
      </c>
    </row>
    <row r="42" spans="1:9" x14ac:dyDescent="0.25">
      <c r="A42" s="8">
        <f t="shared" ref="A42:A47" si="6">ROW()-ROW($A$1)</f>
        <v>41</v>
      </c>
      <c r="B42" s="9">
        <v>45888</v>
      </c>
      <c r="C42" s="8" t="s">
        <v>679</v>
      </c>
      <c r="D42" s="8" t="str">
        <f>IFERROR(VLOOKUP(EquipRecord01[[#This Row],[Name]],EmpDetails!$B:$D,2,FALSE),"")</f>
        <v>Store</v>
      </c>
      <c r="E42" s="8" t="s">
        <v>5</v>
      </c>
      <c r="F42" s="8">
        <v>1</v>
      </c>
      <c r="G42" s="8" t="s">
        <v>68</v>
      </c>
      <c r="H42" s="8" t="s">
        <v>61</v>
      </c>
    </row>
    <row r="43" spans="1:9" x14ac:dyDescent="0.25">
      <c r="A43" s="8">
        <f t="shared" si="6"/>
        <v>42</v>
      </c>
      <c r="B43" s="9">
        <v>45888</v>
      </c>
      <c r="C43" s="8" t="s">
        <v>679</v>
      </c>
      <c r="D43" s="8" t="str">
        <f>IFERROR(VLOOKUP(EquipRecord01[[#This Row],[Name]],EmpDetails!$B:$D,2,FALSE),"")</f>
        <v>Store</v>
      </c>
      <c r="E43" s="8" t="s">
        <v>8</v>
      </c>
      <c r="F43" s="8">
        <v>1</v>
      </c>
      <c r="G43" s="8" t="s">
        <v>68</v>
      </c>
      <c r="H43" s="8" t="s">
        <v>61</v>
      </c>
    </row>
    <row r="44" spans="1:9" x14ac:dyDescent="0.25">
      <c r="A44" s="8">
        <f t="shared" si="6"/>
        <v>43</v>
      </c>
      <c r="B44" s="9">
        <v>45888</v>
      </c>
      <c r="C44" s="8" t="s">
        <v>200</v>
      </c>
      <c r="D44" s="8" t="str">
        <f>IFERROR(VLOOKUP(EquipRecord01[[#This Row],[Name]],EmpDetails!$B:$D,2,FALSE),"")</f>
        <v>HR</v>
      </c>
      <c r="E44" s="8" t="s">
        <v>646</v>
      </c>
      <c r="F44" s="8">
        <v>1</v>
      </c>
      <c r="G44" s="8" t="s">
        <v>68</v>
      </c>
      <c r="H44" s="8" t="s">
        <v>61</v>
      </c>
      <c r="I44" s="8" t="s">
        <v>80</v>
      </c>
    </row>
    <row r="45" spans="1:9" x14ac:dyDescent="0.25">
      <c r="A45" s="8">
        <f t="shared" si="6"/>
        <v>44</v>
      </c>
      <c r="B45" s="9">
        <v>45888</v>
      </c>
      <c r="C45" s="8" t="s">
        <v>634</v>
      </c>
      <c r="D45" s="8" t="s">
        <v>12</v>
      </c>
      <c r="E45" s="8" t="s">
        <v>13</v>
      </c>
      <c r="F45" s="8">
        <v>1</v>
      </c>
      <c r="G45" s="8" t="s">
        <v>68</v>
      </c>
      <c r="H45" s="8" t="s">
        <v>61</v>
      </c>
      <c r="I45" s="8" t="s">
        <v>80</v>
      </c>
    </row>
    <row r="46" spans="1:9" x14ac:dyDescent="0.25">
      <c r="A46" s="8">
        <f t="shared" si="6"/>
        <v>45</v>
      </c>
      <c r="B46" s="9">
        <v>46095</v>
      </c>
      <c r="C46" s="8" t="s">
        <v>148</v>
      </c>
      <c r="D46" s="8" t="str">
        <f>IFERROR(VLOOKUP(EquipRecord01[[#This Row],[Name]],EmpDetails!$B:$D,2,FALSE),"")</f>
        <v>Quality Control</v>
      </c>
      <c r="E46" s="8" t="s">
        <v>13</v>
      </c>
      <c r="F46" s="8">
        <v>1</v>
      </c>
      <c r="G46" s="8" t="s">
        <v>68</v>
      </c>
      <c r="H46" s="8" t="s">
        <v>61</v>
      </c>
      <c r="I46" s="8" t="s">
        <v>80</v>
      </c>
    </row>
    <row r="47" spans="1:9" x14ac:dyDescent="0.25">
      <c r="A47" s="8">
        <f t="shared" si="6"/>
        <v>46</v>
      </c>
      <c r="B47" s="9">
        <v>46107</v>
      </c>
      <c r="C47" s="8" t="s">
        <v>123</v>
      </c>
      <c r="D47" s="8" t="str">
        <f>IFERROR(VLOOKUP(EquipRecord01[[#This Row],[Name]],EmpDetails!$B:$D,2,FALSE),"")</f>
        <v>Production</v>
      </c>
      <c r="E47" s="8" t="s">
        <v>13</v>
      </c>
      <c r="F47" s="8">
        <v>1</v>
      </c>
      <c r="G47" s="8" t="s">
        <v>68</v>
      </c>
      <c r="H47" s="8" t="s">
        <v>61</v>
      </c>
      <c r="I47" s="8" t="s">
        <v>80</v>
      </c>
    </row>
  </sheetData>
  <dataValidations count="5">
    <dataValidation type="list" allowBlank="1" showInputMessage="1" sqref="E2:E47" xr:uid="{7512CD80-258D-4330-A920-FF38DD7B07B5}">
      <formula1>INDIRECT("CompEquip01[Computer Equipment]")</formula1>
    </dataValidation>
    <dataValidation type="list" allowBlank="1" showInputMessage="1" sqref="D2:D47" xr:uid="{19EFBCB4-9505-4339-8957-C73427AF5442}">
      <formula1>INDIRECT("DeptName01[Department Name]")</formula1>
    </dataValidation>
    <dataValidation type="list" allowBlank="1" showInputMessage="1" sqref="G2:G47" xr:uid="{3FF21CCE-2258-41F8-84AB-507AD549B766}">
      <formula1>"Given to User, Return by User"</formula1>
    </dataValidation>
    <dataValidation type="list" allowBlank="1" showInputMessage="1" sqref="H2:H47" xr:uid="{2A0DAEA8-B163-4F60-B20D-2030AC6FBC52}">
      <formula1>"Working,Not Working"</formula1>
    </dataValidation>
    <dataValidation type="list" allowBlank="1" showInputMessage="1" sqref="C2:C47" xr:uid="{56493F15-64C9-4BC8-B5A2-77D21655F614}">
      <formula1>INDIRECT("T_EmpDetails[Full Name]")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EmpDetails</vt:lpstr>
      <vt:lpstr>Tables</vt:lpstr>
      <vt:lpstr>Recurring Item Re-Stock</vt:lpstr>
      <vt:lpstr>Recurring Item</vt:lpstr>
      <vt:lpstr>Recurring Item Record</vt:lpstr>
      <vt:lpstr>Computer Equipment Re-Stock</vt:lpstr>
      <vt:lpstr>Computer Equipments</vt:lpstr>
      <vt:lpstr>Computer Equipment Record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Jairaj Bhogade</dc:creator>
  <cp:keywords/>
  <dc:description/>
  <cp:lastModifiedBy>Jairaj Bhogade</cp:lastModifiedBy>
  <cp:revision/>
  <dcterms:created xsi:type="dcterms:W3CDTF">2024-08-30T06:45:07Z</dcterms:created>
  <dcterms:modified xsi:type="dcterms:W3CDTF">2026-09-07T11:16:05Z</dcterms:modified>
  <cp:category/>
  <cp:contentStatus/>
</cp:coreProperties>
</file>