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spl12-my.sharepoint.com/personal/jairaj_b_ocspl_com/Documents/IT_Jairaj_Backup/"/>
    </mc:Choice>
  </mc:AlternateContent>
  <xr:revisionPtr revIDLastSave="945" documentId="8_{4C3387D3-3AB2-45AD-9158-1E185FD8F2EB}" xr6:coauthVersionLast="47" xr6:coauthVersionMax="47" xr10:uidLastSave="{25451FD3-CA8B-4126-8306-D3DFB486E61F}"/>
  <bookViews>
    <workbookView xWindow="-120" yWindow="-120" windowWidth="29040" windowHeight="15720" activeTab="3" xr2:uid="{670E0C62-DBED-4E1F-A178-47152C2D6483}"/>
  </bookViews>
  <sheets>
    <sheet name="Info" sheetId="2" r:id="rId1"/>
    <sheet name="EMP Info" sheetId="4" r:id="rId2"/>
    <sheet name="VI" sheetId="1" r:id="rId3"/>
    <sheet name="JiO" sheetId="6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/>
  <c r="A21" i="1"/>
  <c r="A22" i="1"/>
  <c r="A23" i="1"/>
  <c r="D19" i="1"/>
  <c r="D20" i="1"/>
  <c r="D21" i="1"/>
  <c r="D22" i="1"/>
  <c r="D23" i="1"/>
  <c r="E19" i="1"/>
  <c r="E20" i="1"/>
  <c r="E21" i="1"/>
  <c r="E22" i="1"/>
  <c r="E23" i="1"/>
  <c r="M19" i="1"/>
  <c r="L19" i="1" s="1"/>
  <c r="M20" i="1"/>
  <c r="L20" i="1" s="1"/>
  <c r="M21" i="1"/>
  <c r="L21" i="1" s="1"/>
  <c r="M22" i="1"/>
  <c r="L22" i="1" s="1"/>
  <c r="M23" i="1"/>
  <c r="L23" i="1" s="1"/>
  <c r="A15" i="1"/>
  <c r="A24" i="1"/>
  <c r="A16" i="1"/>
  <c r="A17" i="1"/>
  <c r="A18" i="1"/>
  <c r="D15" i="1"/>
  <c r="D24" i="1"/>
  <c r="D16" i="1"/>
  <c r="D17" i="1"/>
  <c r="D18" i="1"/>
  <c r="E15" i="1"/>
  <c r="E24" i="1"/>
  <c r="E16" i="1"/>
  <c r="E17" i="1"/>
  <c r="E18" i="1"/>
  <c r="M15" i="1"/>
  <c r="L15" i="1" s="1"/>
  <c r="M24" i="1"/>
  <c r="L24" i="1" s="1"/>
  <c r="M16" i="1"/>
  <c r="L16" i="1" s="1"/>
  <c r="M17" i="1"/>
  <c r="L17" i="1" s="1"/>
  <c r="M18" i="1"/>
  <c r="L18" i="1" s="1"/>
  <c r="E31" i="6"/>
  <c r="E30" i="6"/>
  <c r="E28" i="6"/>
  <c r="E25" i="6"/>
  <c r="E24" i="6"/>
  <c r="E23" i="6"/>
  <c r="E22" i="6"/>
  <c r="E21" i="6"/>
  <c r="E19" i="6"/>
  <c r="E18" i="6"/>
  <c r="E16" i="6"/>
  <c r="E15" i="6"/>
  <c r="E14" i="6"/>
  <c r="E13" i="6"/>
  <c r="E12" i="6"/>
  <c r="E11" i="6"/>
  <c r="E10" i="6"/>
  <c r="E9" i="6"/>
  <c r="E8" i="6"/>
  <c r="E7" i="6"/>
  <c r="E5" i="6"/>
  <c r="E4" i="6"/>
  <c r="E3" i="6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4" i="1"/>
  <c r="E33" i="1"/>
  <c r="E32" i="1"/>
  <c r="E31" i="1"/>
  <c r="E29" i="1"/>
  <c r="E28" i="1"/>
  <c r="E27" i="1"/>
  <c r="E26" i="1"/>
  <c r="E2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8" i="6"/>
  <c r="D9" i="6"/>
  <c r="D10" i="6"/>
  <c r="D11" i="6"/>
  <c r="D12" i="6"/>
  <c r="D13" i="6"/>
  <c r="D14" i="6"/>
  <c r="D15" i="6"/>
  <c r="D16" i="6"/>
  <c r="D18" i="6"/>
  <c r="D19" i="6"/>
  <c r="D20" i="6"/>
  <c r="D21" i="6"/>
  <c r="D22" i="6"/>
  <c r="D23" i="6"/>
  <c r="D24" i="6"/>
  <c r="D25" i="6"/>
  <c r="D27" i="6"/>
  <c r="D28" i="6"/>
  <c r="D29" i="6"/>
  <c r="D30" i="6"/>
  <c r="D31" i="6"/>
  <c r="D7" i="6"/>
  <c r="D5" i="6"/>
  <c r="D4" i="6"/>
  <c r="D3" i="6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4" i="1"/>
  <c r="D33" i="1"/>
  <c r="D32" i="1"/>
  <c r="D31" i="1"/>
  <c r="D29" i="1"/>
  <c r="D25" i="1"/>
  <c r="D26" i="1"/>
  <c r="D27" i="1"/>
  <c r="D28" i="1"/>
  <c r="D10" i="1"/>
  <c r="D11" i="1"/>
  <c r="D12" i="1"/>
  <c r="D13" i="1"/>
  <c r="D14" i="1"/>
  <c r="D3" i="1"/>
  <c r="D4" i="1"/>
  <c r="D5" i="1"/>
  <c r="D6" i="1"/>
  <c r="D7" i="1"/>
  <c r="D8" i="1"/>
  <c r="D9" i="1"/>
  <c r="D2" i="1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L4" i="6"/>
  <c r="L12" i="6"/>
  <c r="M3" i="6"/>
  <c r="L3" i="6" s="1"/>
  <c r="M4" i="6"/>
  <c r="M5" i="6"/>
  <c r="L5" i="6" s="1"/>
  <c r="M6" i="6"/>
  <c r="L6" i="6" s="1"/>
  <c r="M7" i="6"/>
  <c r="L7" i="6" s="1"/>
  <c r="M8" i="6"/>
  <c r="L8" i="6" s="1"/>
  <c r="M9" i="6"/>
  <c r="L9" i="6" s="1"/>
  <c r="M10" i="6"/>
  <c r="L10" i="6" s="1"/>
  <c r="M11" i="6"/>
  <c r="L11" i="6" s="1"/>
  <c r="M12" i="6"/>
  <c r="M13" i="6"/>
  <c r="L13" i="6" s="1"/>
  <c r="M14" i="6"/>
  <c r="L14" i="6" s="1"/>
  <c r="M15" i="6"/>
  <c r="L15" i="6" s="1"/>
  <c r="M16" i="6"/>
  <c r="L16" i="6" s="1"/>
  <c r="M17" i="6"/>
  <c r="L17" i="6" s="1"/>
  <c r="M18" i="6"/>
  <c r="L18" i="6" s="1"/>
  <c r="M19" i="6"/>
  <c r="L19" i="6" s="1"/>
  <c r="M20" i="6"/>
  <c r="L20" i="6" s="1"/>
  <c r="M21" i="6"/>
  <c r="L21" i="6" s="1"/>
  <c r="M22" i="6"/>
  <c r="L22" i="6" s="1"/>
  <c r="M23" i="6"/>
  <c r="L23" i="6" s="1"/>
  <c r="M24" i="6"/>
  <c r="L24" i="6" s="1"/>
  <c r="M25" i="6"/>
  <c r="L25" i="6" s="1"/>
  <c r="M26" i="6"/>
  <c r="L26" i="6" s="1"/>
  <c r="M27" i="6"/>
  <c r="L27" i="6" s="1"/>
  <c r="M28" i="6"/>
  <c r="L28" i="6" s="1"/>
  <c r="M29" i="6"/>
  <c r="L29" i="6" s="1"/>
  <c r="M30" i="6"/>
  <c r="L30" i="6" s="1"/>
  <c r="M31" i="6"/>
  <c r="L31" i="6" s="1"/>
  <c r="A3" i="1"/>
  <c r="A4" i="1"/>
  <c r="A5" i="1"/>
  <c r="A6" i="1"/>
  <c r="A7" i="1"/>
  <c r="A8" i="1"/>
  <c r="A9" i="1"/>
  <c r="A10" i="1"/>
  <c r="A11" i="1"/>
  <c r="A12" i="1"/>
  <c r="A13" i="1"/>
  <c r="A1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M3" i="1"/>
  <c r="L3" i="1" s="1"/>
  <c r="M4" i="1"/>
  <c r="L4" i="1" s="1"/>
  <c r="M5" i="1"/>
  <c r="L5" i="1" s="1"/>
  <c r="M6" i="1"/>
  <c r="L6" i="1" s="1"/>
  <c r="M7" i="1"/>
  <c r="L7" i="1" s="1"/>
  <c r="M8" i="1"/>
  <c r="L8" i="1" s="1"/>
  <c r="M9" i="1"/>
  <c r="L9" i="1" s="1"/>
  <c r="M10" i="1"/>
  <c r="L10" i="1" s="1"/>
  <c r="M11" i="1"/>
  <c r="L11" i="1" s="1"/>
  <c r="M12" i="1"/>
  <c r="L12" i="1" s="1"/>
  <c r="M13" i="1"/>
  <c r="L13" i="1" s="1"/>
  <c r="M14" i="1"/>
  <c r="L14" i="1" s="1"/>
  <c r="M25" i="1"/>
  <c r="L25" i="1" s="1"/>
  <c r="M26" i="1"/>
  <c r="L26" i="1" s="1"/>
  <c r="M27" i="1"/>
  <c r="L27" i="1" s="1"/>
  <c r="M28" i="1"/>
  <c r="L28" i="1" s="1"/>
  <c r="M29" i="1"/>
  <c r="L29" i="1" s="1"/>
  <c r="M30" i="1"/>
  <c r="L30" i="1" s="1"/>
  <c r="M31" i="1"/>
  <c r="L31" i="1" s="1"/>
  <c r="M32" i="1"/>
  <c r="L32" i="1" s="1"/>
  <c r="M33" i="1"/>
  <c r="L33" i="1" s="1"/>
  <c r="M34" i="1"/>
  <c r="L34" i="1" s="1"/>
  <c r="M35" i="1"/>
  <c r="L35" i="1" s="1"/>
  <c r="M36" i="1"/>
  <c r="L36" i="1" s="1"/>
  <c r="M37" i="1"/>
  <c r="L37" i="1" s="1"/>
  <c r="M38" i="1"/>
  <c r="L38" i="1" s="1"/>
  <c r="M39" i="1"/>
  <c r="L39" i="1" s="1"/>
  <c r="M40" i="1"/>
  <c r="L40" i="1" s="1"/>
  <c r="M41" i="1"/>
  <c r="L41" i="1" s="1"/>
  <c r="M42" i="1"/>
  <c r="L42" i="1" s="1"/>
  <c r="M43" i="1"/>
  <c r="L43" i="1" s="1"/>
  <c r="M44" i="1"/>
  <c r="L44" i="1" s="1"/>
  <c r="M45" i="1"/>
  <c r="L45" i="1" s="1"/>
  <c r="M46" i="1"/>
  <c r="L46" i="1" s="1"/>
  <c r="M47" i="1"/>
  <c r="L47" i="1" s="1"/>
  <c r="M48" i="1"/>
  <c r="L48" i="1" s="1"/>
  <c r="M49" i="1"/>
  <c r="L49" i="1" s="1"/>
  <c r="M50" i="1"/>
  <c r="L50" i="1" s="1"/>
  <c r="M51" i="1"/>
  <c r="L51" i="1" s="1"/>
  <c r="M52" i="1"/>
  <c r="L52" i="1" s="1"/>
  <c r="M53" i="1"/>
  <c r="L53" i="1" s="1"/>
  <c r="M54" i="1"/>
  <c r="L54" i="1" s="1"/>
  <c r="M55" i="1"/>
  <c r="L55" i="1" s="1"/>
  <c r="M56" i="1"/>
  <c r="L56" i="1" s="1"/>
  <c r="M57" i="1"/>
  <c r="L57" i="1" s="1"/>
  <c r="M2" i="6"/>
  <c r="L2" i="6" s="1"/>
  <c r="A2" i="6"/>
  <c r="M2" i="1"/>
  <c r="L2" i="1" s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Jairaj Bhogade</author>
    <author>Admin</author>
  </authors>
  <commentList>
    <comment ref="B23" authorId="0" shapeId="0" xr:uid="{D1A9BA62-E372-40DF-BF32-9BD7125EE20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This Mobile Number Assign to VP Sir</t>
        </r>
      </text>
    </comment>
    <comment ref="B26" authorId="1" shapeId="0" xr:uid="{A90AC269-633F-40B7-8D76-D741BF5B8B57}">
      <text>
        <r>
          <rPr>
            <b/>
            <sz val="9"/>
            <color indexed="81"/>
            <rFont val="Tahoma"/>
            <family val="2"/>
          </rPr>
          <t>IT Member:</t>
        </r>
        <r>
          <rPr>
            <sz val="9"/>
            <color indexed="81"/>
            <rFont val="Tahoma"/>
            <family val="2"/>
          </rPr>
          <t xml:space="preserve">
while verifying mobile number make sure</t>
        </r>
        <r>
          <rPr>
            <b/>
            <sz val="9"/>
            <color indexed="81"/>
            <rFont val="Tahoma"/>
            <family val="2"/>
          </rPr>
          <t xml:space="preserve"> DO NOT CALL ON THIS NUMBER</t>
        </r>
      </text>
    </comment>
  </commentList>
</comments>
</file>

<file path=xl/sharedStrings.xml><?xml version="1.0" encoding="utf-8"?>
<sst xmlns="http://schemas.openxmlformats.org/spreadsheetml/2006/main" count="1928" uniqueCount="966">
  <si>
    <t>Mobile Number</t>
  </si>
  <si>
    <t>Employee Name</t>
  </si>
  <si>
    <t>Employee Dept.</t>
  </si>
  <si>
    <t>Old Employee Name</t>
  </si>
  <si>
    <t>Old Employee Dept.</t>
  </si>
  <si>
    <t>Mobile Make &amp; Model</t>
  </si>
  <si>
    <t>Purchase Date</t>
  </si>
  <si>
    <t>In Warranty</t>
  </si>
  <si>
    <t>Warranty Date</t>
  </si>
  <si>
    <t>Purchase From</t>
  </si>
  <si>
    <t>IMEI_1</t>
  </si>
  <si>
    <t>IMEI_2</t>
  </si>
  <si>
    <t>Battery Number</t>
  </si>
  <si>
    <t>Sim Type</t>
  </si>
  <si>
    <t>SIM ID No.</t>
  </si>
  <si>
    <t>Remark</t>
  </si>
  <si>
    <t>Mobile Number Status</t>
  </si>
  <si>
    <t>SIM Type</t>
  </si>
  <si>
    <t>Nano SIM</t>
  </si>
  <si>
    <t>Standard SIM card</t>
  </si>
  <si>
    <t>Mini SIM</t>
  </si>
  <si>
    <t>eSiM</t>
  </si>
  <si>
    <t>Integrated SIM</t>
  </si>
  <si>
    <t>Nano SIM vs Micro SIM</t>
  </si>
  <si>
    <t>Micro SIM</t>
  </si>
  <si>
    <t>3FF SIM card</t>
  </si>
  <si>
    <t>MFF2 SIM card</t>
  </si>
  <si>
    <t>Standard SIM</t>
  </si>
  <si>
    <t>Comparing Sim Card Sizes</t>
  </si>
  <si>
    <t>2FF SIM card</t>
  </si>
  <si>
    <t>4FF SIM card</t>
  </si>
  <si>
    <t>Embedded Sim (Esim)</t>
  </si>
  <si>
    <t>IFF SIM card</t>
  </si>
  <si>
    <t>Full SIM card</t>
  </si>
  <si>
    <t>Sr. No.</t>
  </si>
  <si>
    <t>Employee Code</t>
  </si>
  <si>
    <t>Full name</t>
  </si>
  <si>
    <t>Department</t>
  </si>
  <si>
    <t>Designation</t>
  </si>
  <si>
    <t>00005</t>
  </si>
  <si>
    <t>Sandip Nivrutti Jadhav</t>
  </si>
  <si>
    <t>Boiler</t>
  </si>
  <si>
    <t>Jr. Officer</t>
  </si>
  <si>
    <t>00006</t>
  </si>
  <si>
    <t>Pandit Mahadeo Hanjage</t>
  </si>
  <si>
    <t>Production</t>
  </si>
  <si>
    <t>Officer</t>
  </si>
  <si>
    <t>00012</t>
  </si>
  <si>
    <t>Arvind Tanaji Devkar</t>
  </si>
  <si>
    <t>PD Lab</t>
  </si>
  <si>
    <t>00014</t>
  </si>
  <si>
    <t>Prashant Sukhdev Ingle</t>
  </si>
  <si>
    <t>HR</t>
  </si>
  <si>
    <t>HR Associate</t>
  </si>
  <si>
    <t>00015</t>
  </si>
  <si>
    <t>Ulhas Dilip Byale</t>
  </si>
  <si>
    <t>QC &amp; QA</t>
  </si>
  <si>
    <t>Sr. Executive</t>
  </si>
  <si>
    <t>00022</t>
  </si>
  <si>
    <t>Savala Jagannath Kumbhar</t>
  </si>
  <si>
    <t>Electrical</t>
  </si>
  <si>
    <t>Executive</t>
  </si>
  <si>
    <t>00030</t>
  </si>
  <si>
    <t>Ravindra Vitthal Kashid</t>
  </si>
  <si>
    <t>00032</t>
  </si>
  <si>
    <t>Shital Ramchandra Sathe</t>
  </si>
  <si>
    <t>Production Associate</t>
  </si>
  <si>
    <t>00035</t>
  </si>
  <si>
    <t>Krishna Balaprasad Kushwaha</t>
  </si>
  <si>
    <t>00039</t>
  </si>
  <si>
    <t>Shrishail Shantappa Mali</t>
  </si>
  <si>
    <t>Maintenance</t>
  </si>
  <si>
    <t>Jr.Officer</t>
  </si>
  <si>
    <t>00041</t>
  </si>
  <si>
    <t>Arjun Guruling Wale</t>
  </si>
  <si>
    <t>Asst.General Manager</t>
  </si>
  <si>
    <t>00042</t>
  </si>
  <si>
    <t>Amar Dattatray Paul</t>
  </si>
  <si>
    <t>00043</t>
  </si>
  <si>
    <t>Madhukar Balu Kambale</t>
  </si>
  <si>
    <t>Fireman</t>
  </si>
  <si>
    <t>00048</t>
  </si>
  <si>
    <t>Dilip Mahadev Aldar</t>
  </si>
  <si>
    <t>00054</t>
  </si>
  <si>
    <t>Balasaheb Nivrutti Khandeker</t>
  </si>
  <si>
    <t>Maintenance Associate (Mechanical)</t>
  </si>
  <si>
    <t>00056</t>
  </si>
  <si>
    <t>Santosh Madhukar Kavale</t>
  </si>
  <si>
    <t>00057</t>
  </si>
  <si>
    <t>Sandeep Kumar Sonelal Singh</t>
  </si>
  <si>
    <t>00059</t>
  </si>
  <si>
    <t>Vaijinath Hanumant Doke</t>
  </si>
  <si>
    <t>00064</t>
  </si>
  <si>
    <t>Somnath Khushal Mali</t>
  </si>
  <si>
    <t>00068</t>
  </si>
  <si>
    <t>Namdev Navnath Sonne</t>
  </si>
  <si>
    <t>00070</t>
  </si>
  <si>
    <t>Mustajibahmed Jahangir Shaikh</t>
  </si>
  <si>
    <t>00071</t>
  </si>
  <si>
    <t>Vinod Umashankar Nimbalkar</t>
  </si>
  <si>
    <t>Quality Control</t>
  </si>
  <si>
    <t>Senior Manager</t>
  </si>
  <si>
    <t>00074</t>
  </si>
  <si>
    <t>Shakir Isamil Sayyad</t>
  </si>
  <si>
    <t>00075</t>
  </si>
  <si>
    <t>Avinash Vasant Sathe</t>
  </si>
  <si>
    <t>00077</t>
  </si>
  <si>
    <t>Vijayashri Sidramappa Karande</t>
  </si>
  <si>
    <t>Accounts</t>
  </si>
  <si>
    <t>Deputy Manager</t>
  </si>
  <si>
    <t>00086</t>
  </si>
  <si>
    <t>Rakesh Jagdish Kushvah</t>
  </si>
  <si>
    <t>00087</t>
  </si>
  <si>
    <t>Satish Girmal Padasalgi</t>
  </si>
  <si>
    <t>Admin</t>
  </si>
  <si>
    <t>00100</t>
  </si>
  <si>
    <t>Pandurang Kalyan Chougule</t>
  </si>
  <si>
    <t>00101</t>
  </si>
  <si>
    <t>Saudagar Bajirao More</t>
  </si>
  <si>
    <t>00105</t>
  </si>
  <si>
    <t>Shivaji Sugriv Narwade</t>
  </si>
  <si>
    <t>00106</t>
  </si>
  <si>
    <t>Ganesh Vitthal Tadaka</t>
  </si>
  <si>
    <t>00111</t>
  </si>
  <si>
    <t>Ajit Ramchandra Mane</t>
  </si>
  <si>
    <t>00113</t>
  </si>
  <si>
    <t>Vilas Gurunath Birajdar</t>
  </si>
  <si>
    <t>00115</t>
  </si>
  <si>
    <t>Raju Rambilas Tadamali</t>
  </si>
  <si>
    <t>00117</t>
  </si>
  <si>
    <t>Suresh Gurunath Borkar</t>
  </si>
  <si>
    <t>00118</t>
  </si>
  <si>
    <t>Dattatray Ananta Pagade</t>
  </si>
  <si>
    <t>00127</t>
  </si>
  <si>
    <t>Samadhan Rajabhau Patil</t>
  </si>
  <si>
    <t>00131</t>
  </si>
  <si>
    <t>Ram Anand Waghmode</t>
  </si>
  <si>
    <t>Maintenance Associate (Electrical)</t>
  </si>
  <si>
    <t>00134</t>
  </si>
  <si>
    <t>Sandip Namdev Khatal</t>
  </si>
  <si>
    <t>00136</t>
  </si>
  <si>
    <t>Satish Ramdas Reddy</t>
  </si>
  <si>
    <t>00140</t>
  </si>
  <si>
    <t>Mahesh Dhondiba Hanchate</t>
  </si>
  <si>
    <t>Assistant Manager</t>
  </si>
  <si>
    <t>00144</t>
  </si>
  <si>
    <t>Pravinkumar Shankar Patil</t>
  </si>
  <si>
    <t>EHS</t>
  </si>
  <si>
    <t>00159</t>
  </si>
  <si>
    <t>Hanumant Angad Chunge</t>
  </si>
  <si>
    <t>00160</t>
  </si>
  <si>
    <t>Ramchandra Ambadas Waghmare</t>
  </si>
  <si>
    <t>00163</t>
  </si>
  <si>
    <t>Akshay Dashrath Patil</t>
  </si>
  <si>
    <t>00166</t>
  </si>
  <si>
    <t>Anand Shrikant Kanaka</t>
  </si>
  <si>
    <t>00170</t>
  </si>
  <si>
    <t>Sachin Shrikisan Jadhav</t>
  </si>
  <si>
    <t>00171</t>
  </si>
  <si>
    <t>Parshuram Bharat Kokane</t>
  </si>
  <si>
    <t>Utility</t>
  </si>
  <si>
    <t>Utility Associate</t>
  </si>
  <si>
    <t>00173</t>
  </si>
  <si>
    <t>Vishal Vishwanath Dhavan</t>
  </si>
  <si>
    <t>00182</t>
  </si>
  <si>
    <t>Suraj Prakash Shinde</t>
  </si>
  <si>
    <t>Store</t>
  </si>
  <si>
    <t>00185</t>
  </si>
  <si>
    <t>Ratanesh Jayhind Kumar</t>
  </si>
  <si>
    <t>00186</t>
  </si>
  <si>
    <t>Krishnkumar Bhuneshwar Singh</t>
  </si>
  <si>
    <t>00201</t>
  </si>
  <si>
    <t>Shahnawaz Ahmad Nadaf</t>
  </si>
  <si>
    <t>00203</t>
  </si>
  <si>
    <t>Sameer Abdul Kadar Shaikh</t>
  </si>
  <si>
    <t>00205</t>
  </si>
  <si>
    <t>Santosh Devalu Chavan</t>
  </si>
  <si>
    <t>00217</t>
  </si>
  <si>
    <t>Chandrashekhar Shambhu Shah</t>
  </si>
  <si>
    <t>00220</t>
  </si>
  <si>
    <t>Ajay Jayhind Yadav</t>
  </si>
  <si>
    <t>00222</t>
  </si>
  <si>
    <t>Anand Pandharinath Adalinge</t>
  </si>
  <si>
    <t>00224</t>
  </si>
  <si>
    <t>Bandu Shridhar Patil</t>
  </si>
  <si>
    <t>00234</t>
  </si>
  <si>
    <t>Sarjerav Laxman Mane</t>
  </si>
  <si>
    <t>00237</t>
  </si>
  <si>
    <t>Salim Babu Patil</t>
  </si>
  <si>
    <t>00239</t>
  </si>
  <si>
    <t>Prashant Rajkumar Ghogare</t>
  </si>
  <si>
    <t>Technical Services</t>
  </si>
  <si>
    <t>00243</t>
  </si>
  <si>
    <t>Dattatray Ravikiran Harkud</t>
  </si>
  <si>
    <t>SCM</t>
  </si>
  <si>
    <t>00245</t>
  </si>
  <si>
    <t>Balbhim Dadarao Kale</t>
  </si>
  <si>
    <t>00252</t>
  </si>
  <si>
    <t>Johnson Joseph Paul</t>
  </si>
  <si>
    <t>00262</t>
  </si>
  <si>
    <t>Khairul Basar Mollah</t>
  </si>
  <si>
    <t>Manager</t>
  </si>
  <si>
    <t>00263</t>
  </si>
  <si>
    <t>Santosh Singeshwar Barma</t>
  </si>
  <si>
    <t>00272</t>
  </si>
  <si>
    <t>Bharat Nandkumar Gaikwad</t>
  </si>
  <si>
    <t>Forklift Pilot</t>
  </si>
  <si>
    <t>00273</t>
  </si>
  <si>
    <t>Balaji Ganpat Chavan</t>
  </si>
  <si>
    <t>00274</t>
  </si>
  <si>
    <t>Suhas Sunil Sathe</t>
  </si>
  <si>
    <t>00275</t>
  </si>
  <si>
    <t>Mahadev Navnath Kengar</t>
  </si>
  <si>
    <t>Boiler Associate</t>
  </si>
  <si>
    <t>00276</t>
  </si>
  <si>
    <t>Balasaheb Sitaram Shendage</t>
  </si>
  <si>
    <t>00279</t>
  </si>
  <si>
    <t>Akash Mukesh Bandpatte</t>
  </si>
  <si>
    <t>00292</t>
  </si>
  <si>
    <t>Sagar Sadashiv Bhajibhakare</t>
  </si>
  <si>
    <t>00302</t>
  </si>
  <si>
    <t>Pandurang Dagadu Ingale</t>
  </si>
  <si>
    <t>00303</t>
  </si>
  <si>
    <t>Ranjit Sudhakar Patil</t>
  </si>
  <si>
    <t>Data Entry Operator</t>
  </si>
  <si>
    <t>00305</t>
  </si>
  <si>
    <t>Ganesh Shivaji Niture</t>
  </si>
  <si>
    <t>Assistant</t>
  </si>
  <si>
    <t>00307</t>
  </si>
  <si>
    <t>Pramod Sarjerao Shikhare</t>
  </si>
  <si>
    <t>00308</t>
  </si>
  <si>
    <t>Sourabh Subhash Magar</t>
  </si>
  <si>
    <t>00319</t>
  </si>
  <si>
    <t>Nagesh Maruti Pawar</t>
  </si>
  <si>
    <t>Lab Associate</t>
  </si>
  <si>
    <t>00320</t>
  </si>
  <si>
    <t>Surajitsing Panchamsing Raghuvanshi</t>
  </si>
  <si>
    <t>00326</t>
  </si>
  <si>
    <t>Ramesh Hanmant Linbitote</t>
  </si>
  <si>
    <t>00328</t>
  </si>
  <si>
    <t>Sayyad Ieesmaieel Karbhari</t>
  </si>
  <si>
    <t>00330</t>
  </si>
  <si>
    <t>Krushnat Ramdas Ingole</t>
  </si>
  <si>
    <t>00332</t>
  </si>
  <si>
    <t>Pramod Tanaji Koli</t>
  </si>
  <si>
    <t>00339</t>
  </si>
  <si>
    <t>Manik Sarjerao Hasabe</t>
  </si>
  <si>
    <t>Instrument</t>
  </si>
  <si>
    <t>00341</t>
  </si>
  <si>
    <t>Pramod Shrikrishna Bhosale</t>
  </si>
  <si>
    <t>00342</t>
  </si>
  <si>
    <t>Amol Prakash Chaudhari</t>
  </si>
  <si>
    <t>Project</t>
  </si>
  <si>
    <t>00344</t>
  </si>
  <si>
    <t>Vijay Vyankappa Magnur</t>
  </si>
  <si>
    <t>00350</t>
  </si>
  <si>
    <t>Kausar Abdul Rajjak Sayyad</t>
  </si>
  <si>
    <t>General Manager</t>
  </si>
  <si>
    <t>00360</t>
  </si>
  <si>
    <t>Navanath Arjun Shep</t>
  </si>
  <si>
    <t>00361</t>
  </si>
  <si>
    <t>Daulatrao Balasaheb Patil</t>
  </si>
  <si>
    <t>00364</t>
  </si>
  <si>
    <t>Basawaraj Sanjay Swami</t>
  </si>
  <si>
    <t>00365</t>
  </si>
  <si>
    <t>Vikas Kashinath Kale</t>
  </si>
  <si>
    <t>Environment</t>
  </si>
  <si>
    <t>Dy. Manager</t>
  </si>
  <si>
    <t>00366</t>
  </si>
  <si>
    <t>Abdul Afsar Shaikh</t>
  </si>
  <si>
    <t>00370</t>
  </si>
  <si>
    <t>Ajhar Akbar Shaikh</t>
  </si>
  <si>
    <t>00374</t>
  </si>
  <si>
    <t>Pradeep Shrikisan Jadhav</t>
  </si>
  <si>
    <t>00379</t>
  </si>
  <si>
    <t>Yogesh Laxmaiah Ailolla</t>
  </si>
  <si>
    <t>00380</t>
  </si>
  <si>
    <t>Amir Abbasali Pathan</t>
  </si>
  <si>
    <t>00381</t>
  </si>
  <si>
    <t>Adinath Bhojling Sonavane</t>
  </si>
  <si>
    <t>00383</t>
  </si>
  <si>
    <t>Siddeshwar Mahadev More</t>
  </si>
  <si>
    <t>00387</t>
  </si>
  <si>
    <t>Samadhan Kalyan Wabale</t>
  </si>
  <si>
    <t>Quality Assurance</t>
  </si>
  <si>
    <t>00389</t>
  </si>
  <si>
    <t>Amol Shrinivas Adaki</t>
  </si>
  <si>
    <t>00391</t>
  </si>
  <si>
    <t>Mahadev Balu Fand</t>
  </si>
  <si>
    <t>00393</t>
  </si>
  <si>
    <t>Amarnath Suresh Karpe</t>
  </si>
  <si>
    <t>00394</t>
  </si>
  <si>
    <t>Navanath Tukaram Salunkhe</t>
  </si>
  <si>
    <t>Maintenance Associate (Instrument)</t>
  </si>
  <si>
    <t>00398</t>
  </si>
  <si>
    <t>Taufik M Hanif Shaikh</t>
  </si>
  <si>
    <t>00399</t>
  </si>
  <si>
    <t>Sangram Shrikant Dhavane</t>
  </si>
  <si>
    <t>Store Associate</t>
  </si>
  <si>
    <t>00400</t>
  </si>
  <si>
    <t>Tukaram Vitthal Rajmane</t>
  </si>
  <si>
    <t>Tanker Unloader</t>
  </si>
  <si>
    <t>00402</t>
  </si>
  <si>
    <t>Sachin Jyotiram Kusekar</t>
  </si>
  <si>
    <t>00407</t>
  </si>
  <si>
    <t>Vijaykumar Bhimashankar Gurao</t>
  </si>
  <si>
    <t>00413</t>
  </si>
  <si>
    <t>Dipak Tulshiram Tiwarase</t>
  </si>
  <si>
    <t>00414</t>
  </si>
  <si>
    <t>Rahul Sanjivan Kharadkar</t>
  </si>
  <si>
    <t>00418</t>
  </si>
  <si>
    <t>Sudarshan Indrajit Jadhav</t>
  </si>
  <si>
    <t>00422</t>
  </si>
  <si>
    <t>Channappa Sanganna Balundagi</t>
  </si>
  <si>
    <t>00423</t>
  </si>
  <si>
    <t>Shivaji Pandurang Raut</t>
  </si>
  <si>
    <t>00428</t>
  </si>
  <si>
    <t>Shekhar Uttareshwar Madiwal</t>
  </si>
  <si>
    <t>00429</t>
  </si>
  <si>
    <t>Sanket Udaysinh Deshmukh</t>
  </si>
  <si>
    <t>00430</t>
  </si>
  <si>
    <t>Sameer Ansar Sayyad</t>
  </si>
  <si>
    <t>00437</t>
  </si>
  <si>
    <t>Shahir Prabhakar Vadaje</t>
  </si>
  <si>
    <t>00444</t>
  </si>
  <si>
    <t>Rameshwar Baburao Rukke</t>
  </si>
  <si>
    <t>00451</t>
  </si>
  <si>
    <t>Deepak Ravindra Mahajan</t>
  </si>
  <si>
    <t>00453</t>
  </si>
  <si>
    <t>Ravi Balasaheb Maske</t>
  </si>
  <si>
    <t>00454</t>
  </si>
  <si>
    <t>Dipak Sudam Gund</t>
  </si>
  <si>
    <t>DCS Executive</t>
  </si>
  <si>
    <t>00469</t>
  </si>
  <si>
    <t>Shubham Abasaheb Nehul</t>
  </si>
  <si>
    <t>00470</t>
  </si>
  <si>
    <t>Santosh Vilas Shinde</t>
  </si>
  <si>
    <t>00473</t>
  </si>
  <si>
    <t>Bhagyawan Chandrakant Gaikwad</t>
  </si>
  <si>
    <t>00476</t>
  </si>
  <si>
    <t>Dhirajkumar Shivaji Hadule</t>
  </si>
  <si>
    <t>00477</t>
  </si>
  <si>
    <t>Shrinivas Vyankatesh Wakitol</t>
  </si>
  <si>
    <t>00480</t>
  </si>
  <si>
    <t>Vikas Raghunath Yete</t>
  </si>
  <si>
    <t>00486</t>
  </si>
  <si>
    <t>Krishna Kumar Chandrika Yadav</t>
  </si>
  <si>
    <t>00487</t>
  </si>
  <si>
    <t>Pravinsing Onkarsing Pardeshi</t>
  </si>
  <si>
    <t>00489</t>
  </si>
  <si>
    <t>Prathmesh Balkrishna Patil</t>
  </si>
  <si>
    <t>00491</t>
  </si>
  <si>
    <t>Govind Maroti Tate</t>
  </si>
  <si>
    <t>00494</t>
  </si>
  <si>
    <t>Saifan Dadalal Patel</t>
  </si>
  <si>
    <t>00501</t>
  </si>
  <si>
    <t>Bhagavan Vishnu Bhange</t>
  </si>
  <si>
    <t>00502</t>
  </si>
  <si>
    <t>Omkar Rachayya Swami</t>
  </si>
  <si>
    <t>00503</t>
  </si>
  <si>
    <t>Bhushan Ganesh Chaudhari</t>
  </si>
  <si>
    <t>00504</t>
  </si>
  <si>
    <t>Raju Natu Rathod</t>
  </si>
  <si>
    <t>00511</t>
  </si>
  <si>
    <t>Kishor Bhausaheb Hapase</t>
  </si>
  <si>
    <t>00514</t>
  </si>
  <si>
    <t>Sharad Balaji Gaikwad</t>
  </si>
  <si>
    <t>Purchase</t>
  </si>
  <si>
    <t>00516</t>
  </si>
  <si>
    <t>Shivraj Parmeshwar Dahitane</t>
  </si>
  <si>
    <t>00517</t>
  </si>
  <si>
    <t>Ajay Matadeen Kushwaha</t>
  </si>
  <si>
    <t>00520</t>
  </si>
  <si>
    <t>Sunil Bhivaji Bhosale</t>
  </si>
  <si>
    <t>00526</t>
  </si>
  <si>
    <t>Preetamkumar Sunil Abute</t>
  </si>
  <si>
    <t>00529</t>
  </si>
  <si>
    <t>Durgappa Hanamant Pawar</t>
  </si>
  <si>
    <t>00530</t>
  </si>
  <si>
    <t>Pruthviraj Gorakh Jadhav</t>
  </si>
  <si>
    <t>00543</t>
  </si>
  <si>
    <t>Dayanand Rajshekhar Majage</t>
  </si>
  <si>
    <t>00545</t>
  </si>
  <si>
    <t>Anil Arun Satav</t>
  </si>
  <si>
    <t>00549</t>
  </si>
  <si>
    <t>Nandan Madan Kodarkar</t>
  </si>
  <si>
    <t>DCS Officer</t>
  </si>
  <si>
    <t>00556</t>
  </si>
  <si>
    <t>Avinash Kundlik Deokar</t>
  </si>
  <si>
    <t>00559</t>
  </si>
  <si>
    <t>Pintu Dhanu Rathod</t>
  </si>
  <si>
    <t>00561</t>
  </si>
  <si>
    <t>Dhananjay Venkatesh Konda</t>
  </si>
  <si>
    <t>00562</t>
  </si>
  <si>
    <t>Ravi Babasaheb Chandanshive</t>
  </si>
  <si>
    <t>00563</t>
  </si>
  <si>
    <t>Sachin Ramchandra Bansode</t>
  </si>
  <si>
    <t>00565</t>
  </si>
  <si>
    <t>Shrivallabh Vilas Gosavi</t>
  </si>
  <si>
    <t>00566</t>
  </si>
  <si>
    <t>Pankaj Parmeshwar Bagal</t>
  </si>
  <si>
    <t>00567</t>
  </si>
  <si>
    <t>Rohit Shivaji Kamble</t>
  </si>
  <si>
    <t>00576</t>
  </si>
  <si>
    <t>Vishal Meninath Waybhase</t>
  </si>
  <si>
    <t>00578</t>
  </si>
  <si>
    <t>Shubham Bhagwan Sanap</t>
  </si>
  <si>
    <t>00580</t>
  </si>
  <si>
    <t>Sachin Siddharam Konade</t>
  </si>
  <si>
    <t>00586</t>
  </si>
  <si>
    <t>Nitesh Ishwar Mahadik</t>
  </si>
  <si>
    <t>00587</t>
  </si>
  <si>
    <t>Divyaratna Rupchand Dhanwade Mokashi</t>
  </si>
  <si>
    <t>00589</t>
  </si>
  <si>
    <t>Rajkumar Mallikarjun Wagdari</t>
  </si>
  <si>
    <t>00593</t>
  </si>
  <si>
    <t>Dnyaneshwar Prakash Chathe</t>
  </si>
  <si>
    <t>00594</t>
  </si>
  <si>
    <t>Ritesh Satyavijay Chimote</t>
  </si>
  <si>
    <t>00596</t>
  </si>
  <si>
    <t>Rahul Bhima Jadhav</t>
  </si>
  <si>
    <t>00598</t>
  </si>
  <si>
    <t>Tohid Akbar Mulani</t>
  </si>
  <si>
    <t>00599</t>
  </si>
  <si>
    <t>Parmeshwar Nagappa Barse</t>
  </si>
  <si>
    <t>00600</t>
  </si>
  <si>
    <t>Rushikesh Vinod Powar</t>
  </si>
  <si>
    <t>00602</t>
  </si>
  <si>
    <t>Vinayak Shivaji Dorage</t>
  </si>
  <si>
    <t>00603</t>
  </si>
  <si>
    <t>Dattatray Deepak Chavan</t>
  </si>
  <si>
    <t>00604</t>
  </si>
  <si>
    <t>Vinayak Shankar Bagalatti</t>
  </si>
  <si>
    <t>00605</t>
  </si>
  <si>
    <t>Avinash Hanmantu Naik</t>
  </si>
  <si>
    <t>Draftsman</t>
  </si>
  <si>
    <t>00606</t>
  </si>
  <si>
    <t>Parmeshwar Mohan Kumbhar</t>
  </si>
  <si>
    <t>00607</t>
  </si>
  <si>
    <t>Sachin Shivasharan Chhure</t>
  </si>
  <si>
    <t>00609</t>
  </si>
  <si>
    <t>Jairaj Meghraj Bhogade</t>
  </si>
  <si>
    <t>IT</t>
  </si>
  <si>
    <t>00611</t>
  </si>
  <si>
    <t>Pandurang Satish Jadhav</t>
  </si>
  <si>
    <t>00612</t>
  </si>
  <si>
    <t>Vishal Tukaram Gadekar</t>
  </si>
  <si>
    <t>00614</t>
  </si>
  <si>
    <t>Shivaji Ananda Kadam</t>
  </si>
  <si>
    <t>00615</t>
  </si>
  <si>
    <t>Santosh Annarao Birajdar</t>
  </si>
  <si>
    <t>00616</t>
  </si>
  <si>
    <t>Satishkumar Sidramappa Devdurgkar</t>
  </si>
  <si>
    <t>00617</t>
  </si>
  <si>
    <t>Laxmikant Sharanbasappa Kapase</t>
  </si>
  <si>
    <t>00618</t>
  </si>
  <si>
    <t>Vitthal Bharat Gaikwad</t>
  </si>
  <si>
    <t>00620</t>
  </si>
  <si>
    <t>Ganesh Maruti More</t>
  </si>
  <si>
    <t>00621</t>
  </si>
  <si>
    <t>Shivsharan Shivanand Koli</t>
  </si>
  <si>
    <t>00622</t>
  </si>
  <si>
    <t>Hruthik Raju Nigade</t>
  </si>
  <si>
    <t>00623</t>
  </si>
  <si>
    <t>Arvind Dasu Doke</t>
  </si>
  <si>
    <t>00624</t>
  </si>
  <si>
    <t>Vishnu Dinkar Nanaware</t>
  </si>
  <si>
    <t>00625</t>
  </si>
  <si>
    <t>Sachin Tukaram Bodake</t>
  </si>
  <si>
    <t>00626</t>
  </si>
  <si>
    <t>Tushar Dipak Panshetti</t>
  </si>
  <si>
    <t>Technician</t>
  </si>
  <si>
    <t>00627</t>
  </si>
  <si>
    <t>Mustak Javid Mujawar</t>
  </si>
  <si>
    <t>00628</t>
  </si>
  <si>
    <t>Sahil Tamjodin Kazi</t>
  </si>
  <si>
    <t>00629</t>
  </si>
  <si>
    <t>Akshay Ambadas Baddal</t>
  </si>
  <si>
    <t>00630</t>
  </si>
  <si>
    <t>Kannan Ramanathan</t>
  </si>
  <si>
    <t>Operation</t>
  </si>
  <si>
    <t>Sr.Vice President</t>
  </si>
  <si>
    <t>00631</t>
  </si>
  <si>
    <t>Nilesh Ankush Avhad</t>
  </si>
  <si>
    <t>00634</t>
  </si>
  <si>
    <t>Akash Abhimanu Kadam</t>
  </si>
  <si>
    <t>00635</t>
  </si>
  <si>
    <t>Keshav Sunil Wadne</t>
  </si>
  <si>
    <t>00636</t>
  </si>
  <si>
    <t>Sudhakar Shivanand Bamchande</t>
  </si>
  <si>
    <t>00637</t>
  </si>
  <si>
    <t>Kishor Mahadev Patil</t>
  </si>
  <si>
    <t>00638</t>
  </si>
  <si>
    <t>Irfan Pappu Shaikh</t>
  </si>
  <si>
    <t>00639</t>
  </si>
  <si>
    <t>Rahul Bhagwat Dhakane</t>
  </si>
  <si>
    <t>00640</t>
  </si>
  <si>
    <t>Pramod Mahadev Gavhane</t>
  </si>
  <si>
    <t>00641</t>
  </si>
  <si>
    <t>Dipak Santosh Jagtap</t>
  </si>
  <si>
    <t>00642</t>
  </si>
  <si>
    <t>Samir Hamid Mulani</t>
  </si>
  <si>
    <t>00644</t>
  </si>
  <si>
    <t>Prem Parshuram Hole</t>
  </si>
  <si>
    <t>00645</t>
  </si>
  <si>
    <t>Kaushal Bhagwat Gadekar</t>
  </si>
  <si>
    <t>00646</t>
  </si>
  <si>
    <t>Umesh Ramchandra Waichal</t>
  </si>
  <si>
    <t>00647</t>
  </si>
  <si>
    <t>Samir Nabilal Shaikh</t>
  </si>
  <si>
    <t>00648</t>
  </si>
  <si>
    <t>Vishal Ganpat Koli</t>
  </si>
  <si>
    <t>00649</t>
  </si>
  <si>
    <t>Ramhari Sudam Nawale</t>
  </si>
  <si>
    <t>00651</t>
  </si>
  <si>
    <t>Sagar Govardhan Thorat</t>
  </si>
  <si>
    <t>00652</t>
  </si>
  <si>
    <t>Vishvajit Shivdas Nalawade</t>
  </si>
  <si>
    <t>00653</t>
  </si>
  <si>
    <t>Piyush Dhanrajji Kapse</t>
  </si>
  <si>
    <t>00654</t>
  </si>
  <si>
    <t>Kailas Eknath Adhav</t>
  </si>
  <si>
    <t>00655</t>
  </si>
  <si>
    <t>Laxman Hanuman Kardile</t>
  </si>
  <si>
    <t>00656</t>
  </si>
  <si>
    <t>Mahesh Kisan Gadakh</t>
  </si>
  <si>
    <t>00657</t>
  </si>
  <si>
    <t>Laxman Rajendra Raut</t>
  </si>
  <si>
    <t>00658</t>
  </si>
  <si>
    <t>Nagnath Ankush Shinde</t>
  </si>
  <si>
    <t>00659</t>
  </si>
  <si>
    <t>Shaktiprasad Nagnath Jagtap</t>
  </si>
  <si>
    <t>00661</t>
  </si>
  <si>
    <t>Nageshwar Dashrath Pawar</t>
  </si>
  <si>
    <t>00662</t>
  </si>
  <si>
    <t>Ashutosh Dattatray Chaugule</t>
  </si>
  <si>
    <t>00664</t>
  </si>
  <si>
    <t>Vikas Sudhir Masalkar</t>
  </si>
  <si>
    <t>00665</t>
  </si>
  <si>
    <t>Vikas Baburao Kursule</t>
  </si>
  <si>
    <t>00666</t>
  </si>
  <si>
    <t>Ganesh Balasaheb Pol</t>
  </si>
  <si>
    <t>00667</t>
  </si>
  <si>
    <t>Shivanand Shashikant Warang</t>
  </si>
  <si>
    <t>00668</t>
  </si>
  <si>
    <t>Vinayak Kumar Pawar</t>
  </si>
  <si>
    <t>Chemist</t>
  </si>
  <si>
    <t>00669</t>
  </si>
  <si>
    <t>Akshay Sambhaji Thakur</t>
  </si>
  <si>
    <t>00673</t>
  </si>
  <si>
    <t>Arjun Chediram Rajbhar</t>
  </si>
  <si>
    <t>00674</t>
  </si>
  <si>
    <t>Shital Nagnath Sindagi</t>
  </si>
  <si>
    <t>Executive Assistant</t>
  </si>
  <si>
    <t>00676</t>
  </si>
  <si>
    <t>Shivam Pardeep Gawali</t>
  </si>
  <si>
    <t>00677</t>
  </si>
  <si>
    <t>Dipesh Daji Gaikwad</t>
  </si>
  <si>
    <t>00678</t>
  </si>
  <si>
    <t>Tulashiram Shivaji Mote</t>
  </si>
  <si>
    <t>00679</t>
  </si>
  <si>
    <t>Nagesh Sharanappa Gangade</t>
  </si>
  <si>
    <t>00680</t>
  </si>
  <si>
    <t>Amol Balu Darekar</t>
  </si>
  <si>
    <t>00682</t>
  </si>
  <si>
    <t>Aditya Chandrakant Wandhekar</t>
  </si>
  <si>
    <t>00683</t>
  </si>
  <si>
    <t>Shreekant Sambhaji Sawant</t>
  </si>
  <si>
    <t>00684</t>
  </si>
  <si>
    <t>Sharad Hambirao Chaudhari</t>
  </si>
  <si>
    <t>00685</t>
  </si>
  <si>
    <t>Vaibhav Subhash Gandhi</t>
  </si>
  <si>
    <t>00686</t>
  </si>
  <si>
    <t>Nilesh Pandharinath Kasabe</t>
  </si>
  <si>
    <t>00687</t>
  </si>
  <si>
    <t>Pravin Shankar Gund</t>
  </si>
  <si>
    <t>00688</t>
  </si>
  <si>
    <t>Mahesh Laxman Wandhekar</t>
  </si>
  <si>
    <t>00689</t>
  </si>
  <si>
    <t>Vaibhav Vitthal Jagtap</t>
  </si>
  <si>
    <t>00690</t>
  </si>
  <si>
    <t>Shahrukh Siraj Sayyad</t>
  </si>
  <si>
    <t>00692</t>
  </si>
  <si>
    <t>Sahil Pramod Ujgare</t>
  </si>
  <si>
    <t>00693</t>
  </si>
  <si>
    <t>Krishna Jagan Kapure</t>
  </si>
  <si>
    <t>00694</t>
  </si>
  <si>
    <t>Prashant Dattatray Polkat</t>
  </si>
  <si>
    <t>00695</t>
  </si>
  <si>
    <t>Tushar Ramdas Mote</t>
  </si>
  <si>
    <t>00696</t>
  </si>
  <si>
    <t>Mayur Madhukar Shinde</t>
  </si>
  <si>
    <t>00698</t>
  </si>
  <si>
    <t>Rajaram</t>
  </si>
  <si>
    <t>00699</t>
  </si>
  <si>
    <t>Manish Gordhanbhai Tilala</t>
  </si>
  <si>
    <t>00700</t>
  </si>
  <si>
    <t>Onkar Balasaheb Mandhare</t>
  </si>
  <si>
    <t>00701</t>
  </si>
  <si>
    <t>Shivam Subhash Pangarekar</t>
  </si>
  <si>
    <t>00702</t>
  </si>
  <si>
    <t>Yashvant Harishchandra Bandgar</t>
  </si>
  <si>
    <t>00703</t>
  </si>
  <si>
    <t>Akshay Prakash Darkunde</t>
  </si>
  <si>
    <t>00704</t>
  </si>
  <si>
    <t>Rohit Rajendra Yadav</t>
  </si>
  <si>
    <t>00705</t>
  </si>
  <si>
    <t>Aashish Shamrao Mundhe</t>
  </si>
  <si>
    <t>00706</t>
  </si>
  <si>
    <t>Atharv Shriram Adsul</t>
  </si>
  <si>
    <t>00707</t>
  </si>
  <si>
    <t>Jayant Swamirao Salunke</t>
  </si>
  <si>
    <t>00708</t>
  </si>
  <si>
    <t>Prasad Parshuram Chavan</t>
  </si>
  <si>
    <t>00709</t>
  </si>
  <si>
    <t>Prakash Govardhan Zendage</t>
  </si>
  <si>
    <t>00710</t>
  </si>
  <si>
    <t>Bappu Pandurang Gaikwad</t>
  </si>
  <si>
    <t>00711</t>
  </si>
  <si>
    <t>Vinay Santosh Waghmode</t>
  </si>
  <si>
    <t>00712</t>
  </si>
  <si>
    <t>Sanket Dattatray Gavli</t>
  </si>
  <si>
    <t>00713</t>
  </si>
  <si>
    <t>Pravin Sadanand Nakka</t>
  </si>
  <si>
    <t>00714</t>
  </si>
  <si>
    <t>Sushant Popat Masane</t>
  </si>
  <si>
    <t>Asst. Manager</t>
  </si>
  <si>
    <t>00715</t>
  </si>
  <si>
    <t>Niranjan Rajendra Mohite</t>
  </si>
  <si>
    <t>00716</t>
  </si>
  <si>
    <t>Ratan Dadaso Sonavale</t>
  </si>
  <si>
    <t>01027</t>
  </si>
  <si>
    <t>Sachin Chandrakant Padwal</t>
  </si>
  <si>
    <t>Sub User / Area of Uses</t>
  </si>
  <si>
    <t>-</t>
  </si>
  <si>
    <t>Activated</t>
  </si>
  <si>
    <t>Inactive</t>
  </si>
  <si>
    <t> </t>
  </si>
  <si>
    <t>Chinmay Mobile Shopee</t>
  </si>
  <si>
    <t>Sapana Electronics</t>
  </si>
  <si>
    <t>352456889188866</t>
  </si>
  <si>
    <t>354076819188865</t>
  </si>
  <si>
    <t>In-build</t>
  </si>
  <si>
    <t>352456889241582</t>
  </si>
  <si>
    <t>354076819241581</t>
  </si>
  <si>
    <t>359926420836812</t>
  </si>
  <si>
    <t>359926425836817</t>
  </si>
  <si>
    <t>UA01000911003253240110377</t>
  </si>
  <si>
    <t>359926420135553</t>
  </si>
  <si>
    <t>359926425135558</t>
  </si>
  <si>
    <t>UA0100091100324A090155735</t>
  </si>
  <si>
    <t>350794154538510 / 10</t>
  </si>
  <si>
    <t>350794154538528 / 10</t>
  </si>
  <si>
    <t>863439078347164</t>
  </si>
  <si>
    <t>863439078347172</t>
  </si>
  <si>
    <t>7245246692793083456</t>
  </si>
  <si>
    <t>352456882167404</t>
  </si>
  <si>
    <t>354076812167403</t>
  </si>
  <si>
    <t>356049420105949</t>
  </si>
  <si>
    <t>359926420844295</t>
  </si>
  <si>
    <t>359926425844290</t>
  </si>
  <si>
    <t>UA01000911003253240102899</t>
  </si>
  <si>
    <t>359926420837356</t>
  </si>
  <si>
    <t>359926425837351</t>
  </si>
  <si>
    <t>UA01000911003253240129480</t>
  </si>
  <si>
    <t>359926420827779</t>
  </si>
  <si>
    <t>359926425827774</t>
  </si>
  <si>
    <t>UA01000911003253240124651</t>
  </si>
  <si>
    <t>359926420200399</t>
  </si>
  <si>
    <t>359926425200394</t>
  </si>
  <si>
    <t>UA0100091100324C120101184</t>
  </si>
  <si>
    <t>359926420822051</t>
  </si>
  <si>
    <t>359926425822056</t>
  </si>
  <si>
    <t>UA01000911003253240129528</t>
  </si>
  <si>
    <t>359926420830948</t>
  </si>
  <si>
    <t>359926425830943</t>
  </si>
  <si>
    <t>UA01000911003253240125497</t>
  </si>
  <si>
    <t>359926420198965</t>
  </si>
  <si>
    <t>359926425198960</t>
  </si>
  <si>
    <t>UA0100091100324C120127003</t>
  </si>
  <si>
    <t>359926420199252</t>
  </si>
  <si>
    <t>359926425199257</t>
  </si>
  <si>
    <t>89910273409140972230</t>
  </si>
  <si>
    <t>89910276709000963907</t>
  </si>
  <si>
    <t>89910276709000963683</t>
  </si>
  <si>
    <t>89910276709000962545</t>
  </si>
  <si>
    <t>89910276709000962867</t>
  </si>
  <si>
    <t>89910276709000295367</t>
  </si>
  <si>
    <t>89910273909029468267</t>
  </si>
  <si>
    <t>89910273909029467517</t>
  </si>
  <si>
    <t>89910273909029468275</t>
  </si>
  <si>
    <t>89910273909029467525</t>
  </si>
  <si>
    <t>89910273909029467533</t>
  </si>
  <si>
    <t>89910275109043671685</t>
  </si>
  <si>
    <t>89910273501011454478</t>
  </si>
  <si>
    <t>89910274409014654889</t>
  </si>
  <si>
    <t>89910274409014654897</t>
  </si>
  <si>
    <t>89910274409014654905</t>
  </si>
  <si>
    <t>89910274409014654913</t>
  </si>
  <si>
    <t>89910274409014654996</t>
  </si>
  <si>
    <t>89910274409014654921</t>
  </si>
  <si>
    <t>89910274409014655092</t>
  </si>
  <si>
    <t>89910274409014655027</t>
  </si>
  <si>
    <t>89910274409014655050</t>
  </si>
  <si>
    <t>89910274409014655043</t>
  </si>
  <si>
    <t>89910274409014655035</t>
  </si>
  <si>
    <t>89910273509007898293</t>
  </si>
  <si>
    <t>89910273509007898301</t>
  </si>
  <si>
    <t>89910274409014655076</t>
  </si>
  <si>
    <t>89910274409014654970</t>
  </si>
  <si>
    <t>89910274409014654988</t>
  </si>
  <si>
    <t>89910275909003434929</t>
  </si>
  <si>
    <t>89910274409014654947</t>
  </si>
  <si>
    <t>89910274409014654954</t>
  </si>
  <si>
    <t>89910274409014655357</t>
  </si>
  <si>
    <t>89910274409014655365</t>
  </si>
  <si>
    <t>89910274409014655373</t>
  </si>
  <si>
    <t>89910274409014655381</t>
  </si>
  <si>
    <t>89910274409014655399</t>
  </si>
  <si>
    <t>89910274409014655407</t>
  </si>
  <si>
    <t>89910274409014655415</t>
  </si>
  <si>
    <t>89910273509007897634</t>
  </si>
  <si>
    <t>89910273509007898269</t>
  </si>
  <si>
    <t>89910275109043671669</t>
  </si>
  <si>
    <t>89910275109043671651</t>
  </si>
  <si>
    <t>89910276709000295326</t>
  </si>
  <si>
    <t>89910276709000295318</t>
  </si>
  <si>
    <t>SIM 2 ID No.</t>
  </si>
  <si>
    <t>Self</t>
  </si>
  <si>
    <t>E16 Engineering Store</t>
  </si>
  <si>
    <t>E20 Security Officer</t>
  </si>
  <si>
    <t>E DCS Room</t>
  </si>
  <si>
    <t>E22 Boiler Control Room</t>
  </si>
  <si>
    <t>Utility E 17</t>
  </si>
  <si>
    <t>E18 Security Main Gate</t>
  </si>
  <si>
    <t>A Block (Production)</t>
  </si>
  <si>
    <t>B Block (Production)</t>
  </si>
  <si>
    <t>D Block (Production)</t>
  </si>
  <si>
    <t>Utility E 18</t>
  </si>
  <si>
    <t>Security E16</t>
  </si>
  <si>
    <t>Shift Technician</t>
  </si>
  <si>
    <t>FG Store (Production Packing)</t>
  </si>
  <si>
    <t>C Block in charge</t>
  </si>
  <si>
    <t>Safety Staff</t>
  </si>
  <si>
    <t xml:space="preserve">Electrical E17 </t>
  </si>
  <si>
    <t>E22 Boiler Operator</t>
  </si>
  <si>
    <t>QC</t>
  </si>
  <si>
    <t>ETP</t>
  </si>
  <si>
    <t>Shift Maintenance 2</t>
  </si>
  <si>
    <t>Forklift</t>
  </si>
  <si>
    <t>E-17 Plant General Shift Engineer</t>
  </si>
  <si>
    <t>RM Tanker Unloading</t>
  </si>
  <si>
    <t>E-18 Plant General Shift Engineer</t>
  </si>
  <si>
    <t>Itel</t>
  </si>
  <si>
    <t>Samsung A16</t>
  </si>
  <si>
    <t>HMD 105 4G</t>
  </si>
  <si>
    <t>Motorola Moto G85 5G</t>
  </si>
  <si>
    <t>Vivo Y29 5G</t>
  </si>
  <si>
    <t>Nokia 105</t>
  </si>
  <si>
    <t>Hero</t>
  </si>
  <si>
    <t>E17 Security</t>
  </si>
  <si>
    <t>Security</t>
  </si>
  <si>
    <t>Tecno spark smartphone</t>
  </si>
  <si>
    <t>E-18 Security Guard (Ramchandra Mote)</t>
  </si>
  <si>
    <t>E-16 Security Guard (Sunil Khawale)</t>
  </si>
  <si>
    <t>Samadhan Gaikwad MEE Plant</t>
  </si>
  <si>
    <t>359926421187876</t>
  </si>
  <si>
    <t>359926426187871</t>
  </si>
  <si>
    <t>UA01000911003254190118288</t>
  </si>
  <si>
    <t>359926420830104</t>
  </si>
  <si>
    <t>359926425830109</t>
  </si>
  <si>
    <t>Type C Charger No.: BHCIN27545372929</t>
  </si>
  <si>
    <t>Deactivated</t>
  </si>
  <si>
    <t>Chandrakant Dadasaheb Kamble</t>
  </si>
  <si>
    <t>Vithal Thorat</t>
  </si>
  <si>
    <t>Samsung M31</t>
  </si>
  <si>
    <t>Security Officer</t>
  </si>
  <si>
    <t>E18 Main Gate Security</t>
  </si>
  <si>
    <t>Moto G64 5G</t>
  </si>
  <si>
    <t>Sapna Electronics</t>
  </si>
  <si>
    <t>353542248768057</t>
  </si>
  <si>
    <t>89918640400145248816</t>
  </si>
  <si>
    <t>Currently Anand Kanaka Sir have Mobile</t>
  </si>
  <si>
    <t>Currently Mob. No.: 8378984300 also placed in same mobile with Security Officer Number.</t>
  </si>
  <si>
    <t>Samsung Galaxy A16 5G</t>
  </si>
  <si>
    <t>355466590979468</t>
  </si>
  <si>
    <t>356953920979465</t>
  </si>
  <si>
    <t>Vivo Y31 Pro 5G</t>
  </si>
  <si>
    <t>863167087860873</t>
  </si>
  <si>
    <t>863167087860865</t>
  </si>
  <si>
    <t>Type C Charger No.: 344J257314121CA02</t>
  </si>
  <si>
    <t>Chandrakant Anuse</t>
  </si>
  <si>
    <t>Shahnawaz Nadaf</t>
  </si>
  <si>
    <t>Tapan Maiti</t>
  </si>
  <si>
    <t>Parmeshwar Birajdar</t>
  </si>
  <si>
    <t>Izhar Ahmad</t>
  </si>
  <si>
    <t>Pravin Deshmukh</t>
  </si>
  <si>
    <t>Suraj Shinde</t>
  </si>
  <si>
    <t>Samsung F15 5G</t>
  </si>
  <si>
    <t>356494477641703</t>
  </si>
  <si>
    <t>Dhiraj Mane</t>
  </si>
  <si>
    <t>359926421086623</t>
  </si>
  <si>
    <t>Shrikant Lavate</t>
  </si>
  <si>
    <t>Use of Personal Mobile Permission Received</t>
  </si>
  <si>
    <t>Shift Fitter E Block</t>
  </si>
  <si>
    <t>Balasaheb Thorat</t>
  </si>
  <si>
    <t>Jio Bharat Basic phone</t>
  </si>
  <si>
    <t>Sanjit Manna</t>
  </si>
  <si>
    <t>Anand Kanaka</t>
  </si>
  <si>
    <t>Samsung</t>
  </si>
  <si>
    <t>Sandip Tandure</t>
  </si>
  <si>
    <t>Mahindra Patel</t>
  </si>
  <si>
    <t>Harday Shah</t>
  </si>
  <si>
    <t>HO</t>
  </si>
  <si>
    <t>E block</t>
  </si>
  <si>
    <t>Rajendra Ghodke</t>
  </si>
  <si>
    <t>Apple iPhone 14</t>
  </si>
  <si>
    <t>Account</t>
  </si>
  <si>
    <t>SMS Account</t>
  </si>
  <si>
    <t>Virendra Bandi</t>
  </si>
  <si>
    <t>Jio Phone</t>
  </si>
  <si>
    <t>Karbonn Bharat K1</t>
  </si>
  <si>
    <t>89918640400145248832</t>
  </si>
  <si>
    <t>Pravin Patil</t>
  </si>
  <si>
    <t>00717</t>
  </si>
  <si>
    <t>Shivaraj Ashok Jamunkar</t>
  </si>
  <si>
    <t>00718</t>
  </si>
  <si>
    <t>Pranit Dagadu Kadam</t>
  </si>
  <si>
    <t>00719</t>
  </si>
  <si>
    <t>Eknath Balu Avtade</t>
  </si>
  <si>
    <t>00720</t>
  </si>
  <si>
    <t>Vijay Haridas Pawar</t>
  </si>
  <si>
    <t>00721</t>
  </si>
  <si>
    <t>Sunil Sanjay Chanmal</t>
  </si>
  <si>
    <t>00722</t>
  </si>
  <si>
    <t>Mahesh Siddheshwar Jadhav</t>
  </si>
  <si>
    <t>00723</t>
  </si>
  <si>
    <t>Pravin Shantaram Deshmukh</t>
  </si>
  <si>
    <t>Engineering</t>
  </si>
  <si>
    <t>Assistant Vice President</t>
  </si>
  <si>
    <t>00724</t>
  </si>
  <si>
    <t>Jitendra Balkrushna Navarkar</t>
  </si>
  <si>
    <t>00725</t>
  </si>
  <si>
    <t>Arvind Kumar Rameshwar Prasad</t>
  </si>
  <si>
    <t>00726</t>
  </si>
  <si>
    <t>Vikas Vaman Chavan</t>
  </si>
  <si>
    <t>00727</t>
  </si>
  <si>
    <t>Nikhil Gopal Jadhav</t>
  </si>
  <si>
    <t>00728</t>
  </si>
  <si>
    <t>Parth Shrikant Yadhav</t>
  </si>
  <si>
    <t>00729</t>
  </si>
  <si>
    <t>Ganesh Balasaheb Kashid</t>
  </si>
  <si>
    <t>00730</t>
  </si>
  <si>
    <t>Abhijit Nitin More</t>
  </si>
  <si>
    <t>00731</t>
  </si>
  <si>
    <t>Dilip Kumar Arabole</t>
  </si>
  <si>
    <t>00732</t>
  </si>
  <si>
    <t>Mahesh Eknath Gavali</t>
  </si>
  <si>
    <t>00733</t>
  </si>
  <si>
    <t>Dnyaneshwar Rajendra Chaugule</t>
  </si>
  <si>
    <t>00734</t>
  </si>
  <si>
    <t>Abhishek Mallinath Dhumma</t>
  </si>
  <si>
    <t>00735</t>
  </si>
  <si>
    <t>Yogiraj Arun Kshirsagar</t>
  </si>
  <si>
    <t>00736</t>
  </si>
  <si>
    <t>Parmeshwar Dayanand Birajdar</t>
  </si>
  <si>
    <t>359926420374913</t>
  </si>
  <si>
    <t>359926425374918</t>
  </si>
  <si>
    <t>Amazon Online</t>
  </si>
  <si>
    <t>UA0100091100324A090191271</t>
  </si>
  <si>
    <t>Type C Charger No.: BHCIN27544CE29D6</t>
  </si>
  <si>
    <t>354027550322825 / 01</t>
  </si>
  <si>
    <t>354083410322828 / 01</t>
  </si>
  <si>
    <t>SN: R9ZX40HYL6F</t>
  </si>
  <si>
    <t>89918640400993716922</t>
  </si>
  <si>
    <t>89910273909029663867</t>
  </si>
  <si>
    <t>89910273909029663875</t>
  </si>
  <si>
    <t>89910273909029660210</t>
  </si>
  <si>
    <t>89910273909029663404</t>
  </si>
  <si>
    <t>Project Team</t>
  </si>
  <si>
    <t>353124390425966</t>
  </si>
  <si>
    <t>353124395424949</t>
  </si>
  <si>
    <t>FF040100090200124829AS23306</t>
  </si>
  <si>
    <t>Replaced with damaged Mobile (Damage mobile purchase Date: 23-04-2025)</t>
  </si>
  <si>
    <t>RO+DM Plant</t>
  </si>
  <si>
    <t>353124390410943</t>
  </si>
  <si>
    <t>353124395409924</t>
  </si>
  <si>
    <t>FF040100090200124920AS03575</t>
  </si>
  <si>
    <t>89910273909029663750</t>
  </si>
  <si>
    <t>00737</t>
  </si>
  <si>
    <t>Pradeep Vasantappa Daruwale</t>
  </si>
  <si>
    <t>00738</t>
  </si>
  <si>
    <t>Manoj Hanmant Bagal</t>
  </si>
  <si>
    <t>00739</t>
  </si>
  <si>
    <t>Rajendra Ambaji Ghodke</t>
  </si>
  <si>
    <t>D0002</t>
  </si>
  <si>
    <t>Vikas Mangilal Shah</t>
  </si>
  <si>
    <t>Management</t>
  </si>
  <si>
    <t>Personal</t>
  </si>
  <si>
    <t>89910276309000741419</t>
  </si>
  <si>
    <t>89910276309000741427</t>
  </si>
  <si>
    <t>89910276309000741401</t>
  </si>
  <si>
    <t>Mobile Type</t>
  </si>
  <si>
    <t>Basic Keypad Phone</t>
  </si>
  <si>
    <t>Smartphone</t>
  </si>
  <si>
    <t>Tank Fram Area Team</t>
  </si>
  <si>
    <t>359926421685739</t>
  </si>
  <si>
    <t>359926426685734</t>
  </si>
  <si>
    <t>UA01000911003261180118245</t>
  </si>
  <si>
    <t>Type C Charger</t>
  </si>
  <si>
    <t>Samsung M06</t>
  </si>
  <si>
    <t>Mobile Charger (Sr. No.: C25J02512027435), Mobile Back Cover</t>
  </si>
  <si>
    <t>350160042628329</t>
  </si>
  <si>
    <t>351989662628329</t>
  </si>
  <si>
    <t>89910276309000741435</t>
  </si>
  <si>
    <t>89910276309000741443</t>
  </si>
  <si>
    <t>353542248768065</t>
  </si>
  <si>
    <t>Sr. No. ZA222PMHJX</t>
  </si>
  <si>
    <t>89918640400145241332</t>
  </si>
  <si>
    <t>Electrical E18 Shift Members</t>
  </si>
  <si>
    <t>359926421650725</t>
  </si>
  <si>
    <t>359926426650720</t>
  </si>
  <si>
    <t>UA01000911003261180124066</t>
  </si>
  <si>
    <t>Mobile Handset (replaced with a damaged one)</t>
  </si>
  <si>
    <t>00740</t>
  </si>
  <si>
    <t>Sachin Vasant Waje</t>
  </si>
  <si>
    <t>00741</t>
  </si>
  <si>
    <t>Gajanand Basappa Umrani</t>
  </si>
  <si>
    <t>00742</t>
  </si>
  <si>
    <t>Nihal Manjur Mulani</t>
  </si>
  <si>
    <t>00743</t>
  </si>
  <si>
    <t>Sagar Khandu Gund</t>
  </si>
  <si>
    <t>00744</t>
  </si>
  <si>
    <t>Salim Pasha Tamboli</t>
  </si>
  <si>
    <t>00745</t>
  </si>
  <si>
    <t>Kalyani Rajdeep Kulkarni</t>
  </si>
  <si>
    <t>00746</t>
  </si>
  <si>
    <t>Balasaheb Gorakh Kalekar</t>
  </si>
  <si>
    <t>00747</t>
  </si>
  <si>
    <t>Tanaji Nagorao Kadam</t>
  </si>
  <si>
    <t>Director</t>
  </si>
  <si>
    <t>CT Auto Dosing System</t>
  </si>
  <si>
    <t>350160042629335</t>
  </si>
  <si>
    <t>351989662629335</t>
  </si>
  <si>
    <t>Ambrane Type C to Type C Charger No.: C25J02512027437</t>
  </si>
  <si>
    <t>359926421564149</t>
  </si>
  <si>
    <t>359926426654144</t>
  </si>
  <si>
    <t>UA01000911003261180129599</t>
  </si>
  <si>
    <t>Replaced with damaged Mobile (Damage mobile)</t>
  </si>
  <si>
    <t>359926421655906</t>
  </si>
  <si>
    <t>359926426655901</t>
  </si>
  <si>
    <t>UA01000911003261180129511</t>
  </si>
  <si>
    <t>Replaced with damaged Mobile (Damage mobile purchase Date: 23-04-2025) Type C Charger No.: BHCIN275462D63D9</t>
  </si>
  <si>
    <t>359926421883730</t>
  </si>
  <si>
    <t>359926426883735</t>
  </si>
  <si>
    <t>FF040100090200526420AS25495</t>
  </si>
  <si>
    <t>359926421915409</t>
  </si>
  <si>
    <t>359926426915404</t>
  </si>
  <si>
    <t>FF040100090200526420AS01092</t>
  </si>
  <si>
    <t>Replace with Old (13-03-2025) mobile</t>
  </si>
  <si>
    <t>Replaced with damaged Mobile (Damage mobile purchase Date: 20-07-2026)</t>
  </si>
  <si>
    <t>359926421915094</t>
  </si>
  <si>
    <t>359926426915099</t>
  </si>
  <si>
    <t>FF040100090200526420AS06153</t>
  </si>
  <si>
    <t>359926420828884</t>
  </si>
  <si>
    <t>359926425828889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</si>
</sst>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#00000"/>
  </numFmts>
  <fonts count="7" x14ac:knownFonts="1"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C42888D5-B5A3-414B-8753-B812FFDF648C}"/>
  </cellStyles>
  <dxfs count="88"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theme="8"/>
      </font>
      <fill>
        <patternFill>
          <bgColor theme="9" tint="0.39994506668294322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8"/>
      </font>
      <fill>
        <patternFill>
          <bgColor theme="9" tint="0.39994506668294322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164" formatCode="dd/m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164" formatCode="dd/m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165" formatCode="#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164" formatCode="dd/m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164" formatCode="dd/m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165" formatCode="#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C1C891-71BC-4F94-BBC0-AA0F08188826}" name="SIMTypes01" displayName="SIMTypes01" ref="A1:A17" totalsRowShown="0" headerRowDxfId="63" dataDxfId="62">
  <autoFilter ref="A1:A17" xr:uid="{BCC1C891-71BC-4F94-BBC0-AA0F08188826}"/>
  <tableColumns count="1">
    <tableColumn id="1" xr3:uid="{4B26FBDA-6546-45CF-8F14-21312501DFC8}" name="SIM Type" dataDxfId="6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E2EF26-037D-49E8-B8CE-087D0AB1ED6A}" name="Emp_Info_1" displayName="Emp_Info_1" ref="A1:D302" totalsRowShown="0" headerRowDxfId="60" dataDxfId="59">
  <autoFilter ref="A1:D302" xr:uid="{F9E2EF26-037D-49E8-B8CE-087D0AB1ED6A}"/>
  <sortState xmlns:xlrd2="http://schemas.microsoft.com/office/spreadsheetml/2017/richdata2" ref="A2:D270">
    <sortCondition ref="A1:A270"/>
  </sortState>
  <tableColumns count="4">
    <tableColumn id="1" xr3:uid="{405AB542-1B5E-4387-961E-3EB928EDB032}" name="Employee Code" dataDxfId="58"/>
    <tableColumn id="2" xr3:uid="{C0AE2805-AF63-4034-9159-522B82C32D2B}" name="Full name" dataDxfId="57"/>
    <tableColumn id="3" xr3:uid="{0F741EAC-5EE2-4720-8E40-34F42864919C}" name="Department" dataDxfId="56"/>
    <tableColumn id="4" xr3:uid="{90963DB0-FD85-4347-B99A-EF4F947F6BDC}" name="Designation" dataDxfId="5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6F81AD-523E-4880-AE01-6626C0B2415D}" name="Vi_SIM_Mobile" displayName="Vi_SIM_Mobile" ref="A1:V57" totalsRowShown="0" headerRowDxfId="87" dataDxfId="86">
  <autoFilter ref="A1:V57" xr:uid="{756F81AD-523E-4880-AE01-6626C0B2415D}"/>
  <tableColumns count="22">
    <tableColumn id="1" xr3:uid="{F70EEF41-BFF2-4F95-B237-06F5DB2052D9}" name="Sr. No." dataDxfId="85">
      <calculatedColumnFormula>ROW()-ROW(Vi_SIM_Mobile[[#Headers],[Sr. No.]])</calculatedColumnFormula>
    </tableColumn>
    <tableColumn id="2" xr3:uid="{8553A4F9-123C-4DC6-B107-AC40EBF02C2E}" name="Mobile Number" dataDxfId="84"/>
    <tableColumn id="21" xr3:uid="{B9D88BA9-0D58-4B02-B5C9-9F662EA00F77}" name="Employee Code" dataDxfId="83"/>
    <tableColumn id="3" xr3:uid="{C7BF668E-90D5-4913-A92B-EEF64171DB6C}" name="Employee Name" dataDxfId="82">
      <calculatedColumnFormula>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calculatedColumnFormula>
    </tableColumn>
    <tableColumn id="4" xr3:uid="{8D705A4F-C84D-4D9F-9FCD-39D2479543EE}" name="Employee Dept." dataDxfId="81">
      <calculatedColumnFormula>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calculatedColumnFormula>
    </tableColumn>
    <tableColumn id="5" xr3:uid="{481FD521-527A-4821-BA30-1FF7B71EF28F}" name="Sub User / Area of Uses" dataDxfId="80"/>
    <tableColumn id="6" xr3:uid="{A97327C2-9546-46AA-9058-674388C313F8}" name="Old Employee Name" dataDxfId="79"/>
    <tableColumn id="7" xr3:uid="{04EE4292-234B-493C-A0AC-CA87DEF773C5}" name="Old Employee Dept." dataDxfId="78"/>
    <tableColumn id="22" xr3:uid="{9F2F4F9E-1075-4854-AD59-0FA95960F4A2}" name="Mobile Type" dataDxfId="77"/>
    <tableColumn id="8" xr3:uid="{672C98C9-DF5E-4AC2-9618-86E7B7002C14}" name="Mobile Make &amp; Model" dataDxfId="76"/>
    <tableColumn id="9" xr3:uid="{574E11A4-101F-4A1A-904C-BD79F7D5BA56}" name="Purchase Date" dataDxfId="75"/>
    <tableColumn id="10" xr3:uid="{818AE987-801D-4139-880B-2197128D7EB6}" name="In Warranty" dataDxfId="74">
      <calculatedColumnFormula>IFERROR(IF(Vi_SIM_Mobile[[#This Row],[Warranty Date]]&lt;TODAY(), "Out of Warranty", IF(Vi_SIM_Mobile[[#This Row],[Warranty Date]]-TODAY()&lt;=30, "Expiring Soon", "In Warranty")),"-")</calculatedColumnFormula>
    </tableColumn>
    <tableColumn id="11" xr3:uid="{71204847-5A55-49BA-8E1B-68B0B3418DAD}" name="Warranty Date" dataDxfId="73">
      <calculatedColumnFormula>IFERROR(IF(Vi_SIM_Mobile[[#This Row],[Purchase Date]]="","NA",EDATE(Vi_SIM_Mobile[[#This Row],[Purchase Date]],12)),"NA")</calculatedColumnFormula>
    </tableColumn>
    <tableColumn id="12" xr3:uid="{BD8F4626-0772-4C20-9F8D-03DDFF121738}" name="Purchase From" dataDxfId="72"/>
    <tableColumn id="13" xr3:uid="{E4BC21C7-EE01-4AB0-B7EA-135A0B381616}" name="IMEI_1" dataDxfId="71"/>
    <tableColumn id="14" xr3:uid="{F2CADBC8-F115-469A-BEAB-14CFB29D7AA9}" name="IMEI_2" dataDxfId="70"/>
    <tableColumn id="15" xr3:uid="{38F401A5-D3D2-4EDD-8025-126668690C64}" name="Battery Number" dataDxfId="69"/>
    <tableColumn id="16" xr3:uid="{97A81194-341E-4623-A0DB-FA46011DBA68}" name="Sim Type" dataDxfId="68"/>
    <tableColumn id="17" xr3:uid="{85E937E4-82E7-40B5-ABE7-FEBEEC64FC38}" name="SIM ID No." dataDxfId="67"/>
    <tableColumn id="18" xr3:uid="{2030B433-1574-4120-82EC-797E42FFFE2C}" name="SIM 2 ID No." dataDxfId="66"/>
    <tableColumn id="20" xr3:uid="{4FB3C6F8-891F-4B9A-A0B9-4DA322A3AB22}" name="Mobile Number Status" dataDxfId="65"/>
    <tableColumn id="19" xr3:uid="{595ABB02-32D0-4238-BADB-77E093387E48}" name="Remark" dataDxfId="6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C4024A-E9A0-4244-8E6D-E28C8CAC1316}" name="JiO_SIM_Mobile" displayName="JiO_SIM_Mobile" ref="A1:V31" totalsRowShown="0" headerRowDxfId="54" dataDxfId="53">
  <autoFilter ref="A1:V31" xr:uid="{D3C4024A-E9A0-4244-8E6D-E28C8CAC1316}"/>
  <sortState xmlns:xlrd2="http://schemas.microsoft.com/office/spreadsheetml/2017/richdata2" ref="A2:V31">
    <sortCondition ref="B1:B31"/>
  </sortState>
  <tableColumns count="22">
    <tableColumn id="1" xr3:uid="{64A24120-33F6-4377-9874-CDF472931816}" name="Sr. No." dataDxfId="52">
      <calculatedColumnFormula>ROW()-ROW(JiO_SIM_Mobile[[#Headers],[Sr. No.]])</calculatedColumnFormula>
    </tableColumn>
    <tableColumn id="2" xr3:uid="{80555AAD-ECE3-48E4-B805-FA6B0F88C5BE}" name="Mobile Number" dataDxfId="51"/>
    <tableColumn id="3" xr3:uid="{1DDFB68F-7361-4715-8280-D3209D8D78C9}" name="Employee Code" dataDxfId="50"/>
    <tableColumn id="4" xr3:uid="{C39FD8EE-6962-4119-9DEC-4AB3329F37C0}" name="Employee Name" dataDxfId="49">
      <calculatedColumnFormula>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</calculatedColumnFormula>
    </tableColumn>
    <tableColumn id="5" xr3:uid="{F46D3742-695D-4EA8-8560-48FAF22C088F}" name="Employee Dept." dataDxfId="48">
      <calculatedColumnFormula>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</calculatedColumnFormula>
    </tableColumn>
    <tableColumn id="6" xr3:uid="{A482DF37-4D6C-4452-B2FB-FB8597461BA3}" name="Sub User / Area of Uses" dataDxfId="47"/>
    <tableColumn id="7" xr3:uid="{0B60DCEC-19CA-40EE-8AD3-799855AD4780}" name="Old Employee Name" dataDxfId="46"/>
    <tableColumn id="8" xr3:uid="{2527253D-210C-4421-84B6-B1BC3D06B5F3}" name="Old Employee Dept." dataDxfId="45"/>
    <tableColumn id="22" xr3:uid="{6A146F25-86AB-4D5B-A2E8-4C5D9BC411AB}" name="Mobile Type" dataDxfId="44"/>
    <tableColumn id="9" xr3:uid="{FF757DFC-1F9E-4A94-91A3-E0E13246AA1C}" name="Mobile Make &amp; Model" dataDxfId="43"/>
    <tableColumn id="10" xr3:uid="{17AEDB85-25DC-4848-B095-52E436D55E9F}" name="Purchase Date" dataDxfId="42"/>
    <tableColumn id="11" xr3:uid="{45648F57-B0EC-44D9-8888-F0178B933F75}" name="In Warranty" dataDxfId="41">
      <calculatedColumnFormula>IFERROR(IF(JiO_SIM_Mobile[[#This Row],[Warranty Date]]&lt;TODAY(), "Out of Warranty", IF(JiO_SIM_Mobile[[#This Row],[Warranty Date]]-TODAY()&lt;=30, "Expiring Soon", "In Warranty")),"-")</calculatedColumnFormula>
    </tableColumn>
    <tableColumn id="12" xr3:uid="{7561A227-2A91-4C88-97D8-DF3695D71718}" name="Warranty Date" dataDxfId="40">
      <calculatedColumnFormula>IFERROR(IF(JiO_SIM_Mobile[[#This Row],[Purchase Date]]="","NA",EDATE(JiO_SIM_Mobile[[#This Row],[Purchase Date]],12)),"NA")</calculatedColumnFormula>
    </tableColumn>
    <tableColumn id="13" xr3:uid="{2A180679-CBA5-4ACE-AB63-67CB03D3E7F5}" name="Purchase From" dataDxfId="39"/>
    <tableColumn id="14" xr3:uid="{19FAFD7E-BF67-416F-800B-B52517A7C222}" name="IMEI_1" dataDxfId="38"/>
    <tableColumn id="15" xr3:uid="{B7E86DFB-3384-45B6-AFE1-476C1073849C}" name="IMEI_2" dataDxfId="37"/>
    <tableColumn id="16" xr3:uid="{32AFBC73-4B5B-4837-A6BD-459D317BC461}" name="Battery Number" dataDxfId="36"/>
    <tableColumn id="17" xr3:uid="{4A31CDD5-1921-465F-A759-F2D02A8AFC22}" name="Sim Type" dataDxfId="35"/>
    <tableColumn id="18" xr3:uid="{2CBC8958-E959-4190-BA0A-ADFF33CBD696}" name="SIM ID No." dataDxfId="34"/>
    <tableColumn id="19" xr3:uid="{DE19B9CC-7B2F-44F5-AACD-5275D3A27BA7}" name="SIM 2 ID No." dataDxfId="33"/>
    <tableColumn id="20" xr3:uid="{BE1E0DF7-62DE-4449-AF04-70B1387AF09C}" name="Mobile Number Status" dataDxfId="32"/>
    <tableColumn id="21" xr3:uid="{256B32DA-84DB-400A-8AC5-B6511E01BE98}" name="Remark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5D50-211C-49D7-9697-5256DFDF4B28}">
  <dimension ref="A1:A17"/>
  <sheetViews>
    <sheetView workbookViewId="0">
      <selection activeCell="A5" sqref="A5"/>
    </sheetView>
  </sheetViews>
  <sheetFormatPr defaultRowHeight="15.75" x14ac:dyDescent="0.25"/>
  <cols>
    <col min="1" max="1" width="28.125" style="3" bestFit="1" customWidth="1"/>
    <col min="2" max="16384" width="9" style="3"/>
  </cols>
  <sheetData>
    <row r="1" spans="1:1" x14ac:dyDescent="0.25">
      <c r="A1" s="4" t="s">
        <v>17</v>
      </c>
    </row>
    <row r="2" spans="1:1" x14ac:dyDescent="0.25">
      <c r="A2" s="3" t="s">
        <v>18</v>
      </c>
    </row>
    <row r="3" spans="1:1" x14ac:dyDescent="0.25">
      <c r="A3" s="3" t="s">
        <v>19</v>
      </c>
    </row>
    <row r="4" spans="1:1" x14ac:dyDescent="0.25">
      <c r="A4" s="3" t="s">
        <v>20</v>
      </c>
    </row>
    <row r="5" spans="1:1" x14ac:dyDescent="0.25">
      <c r="A5" s="3" t="s">
        <v>21</v>
      </c>
    </row>
    <row r="6" spans="1:1" x14ac:dyDescent="0.25">
      <c r="A6" s="3" t="s">
        <v>22</v>
      </c>
    </row>
    <row r="7" spans="1:1" x14ac:dyDescent="0.25">
      <c r="A7" s="3" t="s">
        <v>23</v>
      </c>
    </row>
    <row r="8" spans="1:1" x14ac:dyDescent="0.25">
      <c r="A8" s="3" t="s">
        <v>24</v>
      </c>
    </row>
    <row r="9" spans="1:1" x14ac:dyDescent="0.25">
      <c r="A9" s="3" t="s">
        <v>25</v>
      </c>
    </row>
    <row r="10" spans="1:1" x14ac:dyDescent="0.25">
      <c r="A10" s="3" t="s">
        <v>26</v>
      </c>
    </row>
    <row r="11" spans="1:1" x14ac:dyDescent="0.25">
      <c r="A11" s="3" t="s">
        <v>27</v>
      </c>
    </row>
    <row r="12" spans="1:1" x14ac:dyDescent="0.25">
      <c r="A12" s="3" t="s">
        <v>28</v>
      </c>
    </row>
    <row r="13" spans="1:1" x14ac:dyDescent="0.25">
      <c r="A13" s="3" t="s">
        <v>29</v>
      </c>
    </row>
    <row r="14" spans="1:1" x14ac:dyDescent="0.25">
      <c r="A14" s="3" t="s">
        <v>30</v>
      </c>
    </row>
    <row r="15" spans="1:1" x14ac:dyDescent="0.25">
      <c r="A15" s="3" t="s">
        <v>31</v>
      </c>
    </row>
    <row r="16" spans="1:1" x14ac:dyDescent="0.25">
      <c r="A16" s="3" t="s">
        <v>32</v>
      </c>
    </row>
    <row r="17" spans="1:1" x14ac:dyDescent="0.25">
      <c r="A17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672C-7915-4D39-9B15-168FC6862FC8}">
  <dimension ref="A1:D302"/>
  <sheetViews>
    <sheetView topLeftCell="A257" workbookViewId="0">
      <selection activeCell="B274" sqref="B274"/>
    </sheetView>
  </sheetViews>
  <sheetFormatPr defaultRowHeight="15.75" x14ac:dyDescent="0.25"/>
  <cols>
    <col min="1" max="1" width="19.125" style="3" bestFit="1" customWidth="1"/>
    <col min="2" max="2" width="43.75" style="3" bestFit="1" customWidth="1"/>
    <col min="3" max="3" width="19.5" style="3" bestFit="1" customWidth="1"/>
    <col min="4" max="4" width="37.625" style="3" bestFit="1" customWidth="1"/>
    <col min="5" max="16384" width="9" style="3"/>
  </cols>
  <sheetData>
    <row r="1" spans="1:4" x14ac:dyDescent="0.25">
      <c r="A1" s="3" t="s">
        <v>35</v>
      </c>
      <c r="B1" s="3" t="s">
        <v>36</v>
      </c>
      <c r="C1" s="3" t="s">
        <v>37</v>
      </c>
      <c r="D1" s="3" t="s">
        <v>38</v>
      </c>
    </row>
    <row r="2" spans="1:4" x14ac:dyDescent="0.25">
      <c r="A2" s="3" t="s">
        <v>39</v>
      </c>
      <c r="B2" s="3" t="s">
        <v>40</v>
      </c>
      <c r="C2" s="3" t="s">
        <v>41</v>
      </c>
      <c r="D2" s="3" t="s">
        <v>42</v>
      </c>
    </row>
    <row r="3" spans="1:4" x14ac:dyDescent="0.25">
      <c r="A3" s="3" t="s">
        <v>43</v>
      </c>
      <c r="B3" s="3" t="s">
        <v>44</v>
      </c>
      <c r="C3" s="3" t="s">
        <v>45</v>
      </c>
      <c r="D3" s="3" t="s">
        <v>46</v>
      </c>
    </row>
    <row r="4" spans="1:4" x14ac:dyDescent="0.25">
      <c r="A4" s="3" t="s">
        <v>47</v>
      </c>
      <c r="B4" s="3" t="s">
        <v>48</v>
      </c>
      <c r="C4" s="3" t="s">
        <v>49</v>
      </c>
      <c r="D4" s="3" t="s">
        <v>46</v>
      </c>
    </row>
    <row r="5" spans="1:4" x14ac:dyDescent="0.25">
      <c r="A5" s="3" t="s">
        <v>50</v>
      </c>
      <c r="B5" s="3" t="s">
        <v>51</v>
      </c>
      <c r="C5" s="3" t="s">
        <v>52</v>
      </c>
      <c r="D5" s="3" t="s">
        <v>53</v>
      </c>
    </row>
    <row r="6" spans="1:4" x14ac:dyDescent="0.25">
      <c r="A6" s="3" t="s">
        <v>54</v>
      </c>
      <c r="B6" s="3" t="s">
        <v>55</v>
      </c>
      <c r="C6" s="3" t="s">
        <v>56</v>
      </c>
      <c r="D6" s="3" t="s">
        <v>57</v>
      </c>
    </row>
    <row r="7" spans="1:4" x14ac:dyDescent="0.25">
      <c r="A7" s="3" t="s">
        <v>58</v>
      </c>
      <c r="B7" s="3" t="s">
        <v>59</v>
      </c>
      <c r="C7" s="3" t="s">
        <v>60</v>
      </c>
      <c r="D7" s="3" t="s">
        <v>61</v>
      </c>
    </row>
    <row r="8" spans="1:4" x14ac:dyDescent="0.25">
      <c r="A8" s="3" t="s">
        <v>62</v>
      </c>
      <c r="B8" s="3" t="s">
        <v>63</v>
      </c>
      <c r="C8" s="3" t="s">
        <v>60</v>
      </c>
      <c r="D8" s="3" t="s">
        <v>46</v>
      </c>
    </row>
    <row r="9" spans="1:4" x14ac:dyDescent="0.25">
      <c r="A9" s="3" t="s">
        <v>64</v>
      </c>
      <c r="B9" s="3" t="s">
        <v>65</v>
      </c>
      <c r="C9" s="3" t="s">
        <v>45</v>
      </c>
      <c r="D9" s="3" t="s">
        <v>66</v>
      </c>
    </row>
    <row r="10" spans="1:4" x14ac:dyDescent="0.25">
      <c r="A10" s="3" t="s">
        <v>67</v>
      </c>
      <c r="B10" s="3" t="s">
        <v>68</v>
      </c>
      <c r="C10" s="3" t="s">
        <v>45</v>
      </c>
      <c r="D10" s="3" t="s">
        <v>66</v>
      </c>
    </row>
    <row r="11" spans="1:4" x14ac:dyDescent="0.25">
      <c r="A11" s="3" t="s">
        <v>69</v>
      </c>
      <c r="B11" s="3" t="s">
        <v>70</v>
      </c>
      <c r="C11" s="3" t="s">
        <v>71</v>
      </c>
      <c r="D11" s="3" t="s">
        <v>72</v>
      </c>
    </row>
    <row r="12" spans="1:4" x14ac:dyDescent="0.25">
      <c r="A12" s="3" t="s">
        <v>73</v>
      </c>
      <c r="B12" s="3" t="s">
        <v>74</v>
      </c>
      <c r="C12" s="3" t="s">
        <v>45</v>
      </c>
      <c r="D12" s="3" t="s">
        <v>75</v>
      </c>
    </row>
    <row r="13" spans="1:4" x14ac:dyDescent="0.25">
      <c r="A13" s="3" t="s">
        <v>76</v>
      </c>
      <c r="B13" s="3" t="s">
        <v>77</v>
      </c>
      <c r="C13" s="3" t="s">
        <v>45</v>
      </c>
      <c r="D13" s="3" t="s">
        <v>72</v>
      </c>
    </row>
    <row r="14" spans="1:4" x14ac:dyDescent="0.25">
      <c r="A14" s="3" t="s">
        <v>78</v>
      </c>
      <c r="B14" s="3" t="s">
        <v>79</v>
      </c>
      <c r="C14" s="3" t="s">
        <v>41</v>
      </c>
      <c r="D14" s="3" t="s">
        <v>80</v>
      </c>
    </row>
    <row r="15" spans="1:4" x14ac:dyDescent="0.25">
      <c r="A15" s="3" t="s">
        <v>81</v>
      </c>
      <c r="B15" s="3" t="s">
        <v>82</v>
      </c>
      <c r="C15" s="3" t="s">
        <v>71</v>
      </c>
      <c r="D15" s="3" t="s">
        <v>72</v>
      </c>
    </row>
    <row r="16" spans="1:4" x14ac:dyDescent="0.25">
      <c r="A16" s="3" t="s">
        <v>83</v>
      </c>
      <c r="B16" s="3" t="s">
        <v>84</v>
      </c>
      <c r="C16" s="3" t="s">
        <v>71</v>
      </c>
      <c r="D16" s="3" t="s">
        <v>85</v>
      </c>
    </row>
    <row r="17" spans="1:4" x14ac:dyDescent="0.25">
      <c r="A17" s="3" t="s">
        <v>86</v>
      </c>
      <c r="B17" s="3" t="s">
        <v>87</v>
      </c>
      <c r="C17" s="3" t="s">
        <v>71</v>
      </c>
      <c r="D17" s="3" t="s">
        <v>72</v>
      </c>
    </row>
    <row r="18" spans="1:4" x14ac:dyDescent="0.25">
      <c r="A18" s="3" t="s">
        <v>88</v>
      </c>
      <c r="B18" s="3" t="s">
        <v>89</v>
      </c>
      <c r="C18" s="3" t="s">
        <v>45</v>
      </c>
      <c r="D18" s="3" t="s">
        <v>72</v>
      </c>
    </row>
    <row r="19" spans="1:4" x14ac:dyDescent="0.25">
      <c r="A19" s="3" t="s">
        <v>90</v>
      </c>
      <c r="B19" s="3" t="s">
        <v>91</v>
      </c>
      <c r="C19" s="3" t="s">
        <v>45</v>
      </c>
      <c r="D19" s="3" t="s">
        <v>61</v>
      </c>
    </row>
    <row r="20" spans="1:4" x14ac:dyDescent="0.25">
      <c r="A20" s="3" t="s">
        <v>92</v>
      </c>
      <c r="B20" s="3" t="s">
        <v>93</v>
      </c>
      <c r="C20" s="3" t="s">
        <v>45</v>
      </c>
      <c r="D20" s="3" t="s">
        <v>72</v>
      </c>
    </row>
    <row r="21" spans="1:4" x14ac:dyDescent="0.25">
      <c r="A21" s="3" t="s">
        <v>94</v>
      </c>
      <c r="B21" s="3" t="s">
        <v>95</v>
      </c>
      <c r="C21" s="3" t="s">
        <v>45</v>
      </c>
      <c r="D21" s="3" t="s">
        <v>61</v>
      </c>
    </row>
    <row r="22" spans="1:4" x14ac:dyDescent="0.25">
      <c r="A22" s="3" t="s">
        <v>96</v>
      </c>
      <c r="B22" s="3" t="s">
        <v>97</v>
      </c>
      <c r="C22" s="3" t="s">
        <v>56</v>
      </c>
      <c r="D22" s="3" t="s">
        <v>61</v>
      </c>
    </row>
    <row r="23" spans="1:4" x14ac:dyDescent="0.25">
      <c r="A23" s="3" t="s">
        <v>98</v>
      </c>
      <c r="B23" s="3" t="s">
        <v>99</v>
      </c>
      <c r="C23" s="3" t="s">
        <v>100</v>
      </c>
      <c r="D23" s="3" t="s">
        <v>101</v>
      </c>
    </row>
    <row r="24" spans="1:4" x14ac:dyDescent="0.25">
      <c r="A24" s="3" t="s">
        <v>102</v>
      </c>
      <c r="B24" s="3" t="s">
        <v>103</v>
      </c>
      <c r="C24" s="3" t="s">
        <v>56</v>
      </c>
      <c r="D24" s="3" t="s">
        <v>61</v>
      </c>
    </row>
    <row r="25" spans="1:4" x14ac:dyDescent="0.25">
      <c r="A25" s="3" t="s">
        <v>104</v>
      </c>
      <c r="B25" s="3" t="s">
        <v>105</v>
      </c>
      <c r="C25" s="3" t="s">
        <v>45</v>
      </c>
      <c r="D25" s="3" t="s">
        <v>72</v>
      </c>
    </row>
    <row r="26" spans="1:4" x14ac:dyDescent="0.25">
      <c r="A26" s="3" t="s">
        <v>106</v>
      </c>
      <c r="B26" s="3" t="s">
        <v>107</v>
      </c>
      <c r="C26" s="3" t="s">
        <v>108</v>
      </c>
      <c r="D26" s="3" t="s">
        <v>109</v>
      </c>
    </row>
    <row r="27" spans="1:4" x14ac:dyDescent="0.25">
      <c r="A27" s="3" t="s">
        <v>110</v>
      </c>
      <c r="B27" s="3" t="s">
        <v>111</v>
      </c>
      <c r="C27" s="3" t="s">
        <v>45</v>
      </c>
      <c r="D27" s="3" t="s">
        <v>66</v>
      </c>
    </row>
    <row r="28" spans="1:4" x14ac:dyDescent="0.25">
      <c r="A28" s="3" t="s">
        <v>112</v>
      </c>
      <c r="B28" s="3" t="s">
        <v>113</v>
      </c>
      <c r="C28" s="3" t="s">
        <v>114</v>
      </c>
      <c r="D28" s="3" t="s">
        <v>53</v>
      </c>
    </row>
    <row r="29" spans="1:4" x14ac:dyDescent="0.25">
      <c r="A29" s="3" t="s">
        <v>115</v>
      </c>
      <c r="B29" s="3" t="s">
        <v>116</v>
      </c>
      <c r="C29" s="3" t="s">
        <v>45</v>
      </c>
      <c r="D29" s="3" t="s">
        <v>72</v>
      </c>
    </row>
    <row r="30" spans="1:4" x14ac:dyDescent="0.25">
      <c r="A30" s="3" t="s">
        <v>117</v>
      </c>
      <c r="B30" s="3" t="s">
        <v>118</v>
      </c>
      <c r="C30" s="3" t="s">
        <v>45</v>
      </c>
      <c r="D30" s="3" t="s">
        <v>72</v>
      </c>
    </row>
    <row r="31" spans="1:4" x14ac:dyDescent="0.25">
      <c r="A31" s="3" t="s">
        <v>119</v>
      </c>
      <c r="B31" s="3" t="s">
        <v>120</v>
      </c>
      <c r="C31" s="3" t="s">
        <v>45</v>
      </c>
      <c r="D31" s="3" t="s">
        <v>46</v>
      </c>
    </row>
    <row r="32" spans="1:4" x14ac:dyDescent="0.25">
      <c r="A32" s="3" t="s">
        <v>121</v>
      </c>
      <c r="B32" s="3" t="s">
        <v>122</v>
      </c>
      <c r="C32" s="3" t="s">
        <v>45</v>
      </c>
      <c r="D32" s="3" t="s">
        <v>109</v>
      </c>
    </row>
    <row r="33" spans="1:4" x14ac:dyDescent="0.25">
      <c r="A33" s="3" t="s">
        <v>123</v>
      </c>
      <c r="B33" s="3" t="s">
        <v>124</v>
      </c>
      <c r="C33" s="3" t="s">
        <v>45</v>
      </c>
      <c r="D33" s="3" t="s">
        <v>66</v>
      </c>
    </row>
    <row r="34" spans="1:4" x14ac:dyDescent="0.25">
      <c r="A34" s="3" t="s">
        <v>125</v>
      </c>
      <c r="B34" s="3" t="s">
        <v>126</v>
      </c>
      <c r="C34" s="3" t="s">
        <v>71</v>
      </c>
      <c r="D34" s="3" t="s">
        <v>72</v>
      </c>
    </row>
    <row r="35" spans="1:4" x14ac:dyDescent="0.25">
      <c r="A35" s="3" t="s">
        <v>127</v>
      </c>
      <c r="B35" s="3" t="s">
        <v>128</v>
      </c>
      <c r="C35" s="3" t="s">
        <v>45</v>
      </c>
      <c r="D35" s="3" t="s">
        <v>66</v>
      </c>
    </row>
    <row r="36" spans="1:4" x14ac:dyDescent="0.25">
      <c r="A36" s="3" t="s">
        <v>129</v>
      </c>
      <c r="B36" s="3" t="s">
        <v>130</v>
      </c>
      <c r="C36" s="3" t="s">
        <v>45</v>
      </c>
      <c r="D36" s="3" t="s">
        <v>46</v>
      </c>
    </row>
    <row r="37" spans="1:4" x14ac:dyDescent="0.25">
      <c r="A37" s="3" t="s">
        <v>131</v>
      </c>
      <c r="B37" s="3" t="s">
        <v>132</v>
      </c>
      <c r="C37" s="3" t="s">
        <v>45</v>
      </c>
      <c r="D37" s="3" t="s">
        <v>46</v>
      </c>
    </row>
    <row r="38" spans="1:4" x14ac:dyDescent="0.25">
      <c r="A38" s="3" t="s">
        <v>133</v>
      </c>
      <c r="B38" s="3" t="s">
        <v>134</v>
      </c>
      <c r="C38" s="3" t="s">
        <v>45</v>
      </c>
      <c r="D38" s="3" t="s">
        <v>66</v>
      </c>
    </row>
    <row r="39" spans="1:4" x14ac:dyDescent="0.25">
      <c r="A39" s="3" t="s">
        <v>135</v>
      </c>
      <c r="B39" s="3" t="s">
        <v>136</v>
      </c>
      <c r="C39" s="3" t="s">
        <v>60</v>
      </c>
      <c r="D39" s="3" t="s">
        <v>137</v>
      </c>
    </row>
    <row r="40" spans="1:4" x14ac:dyDescent="0.25">
      <c r="A40" s="3" t="s">
        <v>138</v>
      </c>
      <c r="B40" s="3" t="s">
        <v>139</v>
      </c>
      <c r="C40" s="3" t="s">
        <v>56</v>
      </c>
      <c r="D40" s="3" t="s">
        <v>42</v>
      </c>
    </row>
    <row r="41" spans="1:4" x14ac:dyDescent="0.25">
      <c r="A41" s="3" t="s">
        <v>140</v>
      </c>
      <c r="B41" s="3" t="s">
        <v>141</v>
      </c>
      <c r="C41" s="3" t="s">
        <v>45</v>
      </c>
      <c r="D41" s="3" t="s">
        <v>46</v>
      </c>
    </row>
    <row r="42" spans="1:4" x14ac:dyDescent="0.25">
      <c r="A42" s="3" t="s">
        <v>142</v>
      </c>
      <c r="B42" s="3" t="s">
        <v>143</v>
      </c>
      <c r="C42" s="3" t="s">
        <v>108</v>
      </c>
      <c r="D42" s="3" t="s">
        <v>144</v>
      </c>
    </row>
    <row r="43" spans="1:4" x14ac:dyDescent="0.25">
      <c r="A43" s="3" t="s">
        <v>145</v>
      </c>
      <c r="B43" s="3" t="s">
        <v>146</v>
      </c>
      <c r="C43" s="3" t="s">
        <v>147</v>
      </c>
      <c r="D43" s="3" t="s">
        <v>75</v>
      </c>
    </row>
    <row r="44" spans="1:4" x14ac:dyDescent="0.25">
      <c r="A44" s="3" t="s">
        <v>148</v>
      </c>
      <c r="B44" s="3" t="s">
        <v>149</v>
      </c>
      <c r="C44" s="3" t="s">
        <v>45</v>
      </c>
      <c r="D44" s="3" t="s">
        <v>72</v>
      </c>
    </row>
    <row r="45" spans="1:4" x14ac:dyDescent="0.25">
      <c r="A45" s="3" t="s">
        <v>150</v>
      </c>
      <c r="B45" s="3" t="s">
        <v>151</v>
      </c>
      <c r="C45" s="3" t="s">
        <v>45</v>
      </c>
      <c r="D45" s="3" t="s">
        <v>46</v>
      </c>
    </row>
    <row r="46" spans="1:4" x14ac:dyDescent="0.25">
      <c r="A46" s="3" t="s">
        <v>152</v>
      </c>
      <c r="B46" s="3" t="s">
        <v>153</v>
      </c>
      <c r="C46" s="3" t="s">
        <v>56</v>
      </c>
      <c r="D46" s="3" t="s">
        <v>72</v>
      </c>
    </row>
    <row r="47" spans="1:4" x14ac:dyDescent="0.25">
      <c r="A47" s="3" t="s">
        <v>154</v>
      </c>
      <c r="B47" s="3" t="s">
        <v>155</v>
      </c>
      <c r="C47" s="3" t="s">
        <v>52</v>
      </c>
      <c r="D47" s="3" t="s">
        <v>109</v>
      </c>
    </row>
    <row r="48" spans="1:4" x14ac:dyDescent="0.25">
      <c r="A48" s="3" t="s">
        <v>156</v>
      </c>
      <c r="B48" s="3" t="s">
        <v>157</v>
      </c>
      <c r="C48" s="3" t="s">
        <v>45</v>
      </c>
      <c r="D48" s="3" t="s">
        <v>109</v>
      </c>
    </row>
    <row r="49" spans="1:4" x14ac:dyDescent="0.25">
      <c r="A49" s="3" t="s">
        <v>158</v>
      </c>
      <c r="B49" s="3" t="s">
        <v>159</v>
      </c>
      <c r="C49" s="3" t="s">
        <v>160</v>
      </c>
      <c r="D49" s="3" t="s">
        <v>161</v>
      </c>
    </row>
    <row r="50" spans="1:4" x14ac:dyDescent="0.25">
      <c r="A50" s="3" t="s">
        <v>162</v>
      </c>
      <c r="B50" s="3" t="s">
        <v>163</v>
      </c>
      <c r="C50" s="3" t="s">
        <v>45</v>
      </c>
      <c r="D50" s="3" t="s">
        <v>72</v>
      </c>
    </row>
    <row r="51" spans="1:4" x14ac:dyDescent="0.25">
      <c r="A51" s="3" t="s">
        <v>164</v>
      </c>
      <c r="B51" s="3" t="s">
        <v>165</v>
      </c>
      <c r="C51" s="3" t="s">
        <v>166</v>
      </c>
      <c r="D51" s="3" t="s">
        <v>57</v>
      </c>
    </row>
    <row r="52" spans="1:4" x14ac:dyDescent="0.25">
      <c r="A52" s="3" t="s">
        <v>167</v>
      </c>
      <c r="B52" s="3" t="s">
        <v>168</v>
      </c>
      <c r="C52" s="3" t="s">
        <v>71</v>
      </c>
      <c r="D52" s="3" t="s">
        <v>72</v>
      </c>
    </row>
    <row r="53" spans="1:4" x14ac:dyDescent="0.25">
      <c r="A53" s="3" t="s">
        <v>169</v>
      </c>
      <c r="B53" s="3" t="s">
        <v>170</v>
      </c>
      <c r="C53" s="3" t="s">
        <v>71</v>
      </c>
      <c r="D53" s="3" t="s">
        <v>72</v>
      </c>
    </row>
    <row r="54" spans="1:4" x14ac:dyDescent="0.25">
      <c r="A54" s="3" t="s">
        <v>171</v>
      </c>
      <c r="B54" s="3" t="s">
        <v>172</v>
      </c>
      <c r="C54" s="3" t="s">
        <v>71</v>
      </c>
      <c r="D54" s="3" t="s">
        <v>61</v>
      </c>
    </row>
    <row r="55" spans="1:4" x14ac:dyDescent="0.25">
      <c r="A55" s="3" t="s">
        <v>173</v>
      </c>
      <c r="B55" s="3" t="s">
        <v>174</v>
      </c>
      <c r="C55" s="3" t="s">
        <v>160</v>
      </c>
      <c r="D55" s="3" t="s">
        <v>161</v>
      </c>
    </row>
    <row r="56" spans="1:4" x14ac:dyDescent="0.25">
      <c r="A56" s="3" t="s">
        <v>175</v>
      </c>
      <c r="B56" s="3" t="s">
        <v>176</v>
      </c>
      <c r="C56" s="3" t="s">
        <v>45</v>
      </c>
      <c r="D56" s="3" t="s">
        <v>46</v>
      </c>
    </row>
    <row r="57" spans="1:4" x14ac:dyDescent="0.25">
      <c r="A57" s="3" t="s">
        <v>177</v>
      </c>
      <c r="B57" s="3" t="s">
        <v>178</v>
      </c>
      <c r="C57" s="3" t="s">
        <v>71</v>
      </c>
      <c r="D57" s="3" t="s">
        <v>85</v>
      </c>
    </row>
    <row r="58" spans="1:4" x14ac:dyDescent="0.25">
      <c r="A58" s="3" t="s">
        <v>179</v>
      </c>
      <c r="B58" s="3" t="s">
        <v>180</v>
      </c>
      <c r="C58" s="3" t="s">
        <v>71</v>
      </c>
      <c r="D58" s="3" t="s">
        <v>85</v>
      </c>
    </row>
    <row r="59" spans="1:4" x14ac:dyDescent="0.25">
      <c r="A59" s="3" t="s">
        <v>181</v>
      </c>
      <c r="B59" s="3" t="s">
        <v>182</v>
      </c>
      <c r="C59" s="3" t="s">
        <v>45</v>
      </c>
      <c r="D59" s="3" t="s">
        <v>57</v>
      </c>
    </row>
    <row r="60" spans="1:4" x14ac:dyDescent="0.25">
      <c r="A60" s="3" t="s">
        <v>183</v>
      </c>
      <c r="B60" s="3" t="s">
        <v>184</v>
      </c>
      <c r="C60" s="3" t="s">
        <v>56</v>
      </c>
      <c r="D60" s="3" t="s">
        <v>72</v>
      </c>
    </row>
    <row r="61" spans="1:4" x14ac:dyDescent="0.25">
      <c r="A61" s="3" t="s">
        <v>185</v>
      </c>
      <c r="B61" s="3" t="s">
        <v>186</v>
      </c>
      <c r="C61" s="3" t="s">
        <v>45</v>
      </c>
      <c r="D61" s="3" t="s">
        <v>66</v>
      </c>
    </row>
    <row r="62" spans="1:4" x14ac:dyDescent="0.25">
      <c r="A62" s="3" t="s">
        <v>187</v>
      </c>
      <c r="B62" s="3" t="s">
        <v>188</v>
      </c>
      <c r="C62" s="3" t="s">
        <v>160</v>
      </c>
      <c r="D62" s="3" t="s">
        <v>161</v>
      </c>
    </row>
    <row r="63" spans="1:4" x14ac:dyDescent="0.25">
      <c r="A63" s="3" t="s">
        <v>189</v>
      </c>
      <c r="B63" s="3" t="s">
        <v>190</v>
      </c>
      <c r="C63" s="3" t="s">
        <v>191</v>
      </c>
      <c r="D63" s="3" t="s">
        <v>61</v>
      </c>
    </row>
    <row r="64" spans="1:4" x14ac:dyDescent="0.25">
      <c r="A64" s="3" t="s">
        <v>192</v>
      </c>
      <c r="B64" s="3" t="s">
        <v>193</v>
      </c>
      <c r="C64" s="3" t="s">
        <v>194</v>
      </c>
      <c r="D64" s="3" t="s">
        <v>109</v>
      </c>
    </row>
    <row r="65" spans="1:4" x14ac:dyDescent="0.25">
      <c r="A65" s="3" t="s">
        <v>195</v>
      </c>
      <c r="B65" s="3" t="s">
        <v>196</v>
      </c>
      <c r="C65" s="3" t="s">
        <v>71</v>
      </c>
      <c r="D65" s="3" t="s">
        <v>57</v>
      </c>
    </row>
    <row r="66" spans="1:4" x14ac:dyDescent="0.25">
      <c r="A66" s="3" t="s">
        <v>197</v>
      </c>
      <c r="B66" s="3" t="s">
        <v>198</v>
      </c>
      <c r="C66" s="3" t="s">
        <v>71</v>
      </c>
      <c r="D66" s="3" t="s">
        <v>85</v>
      </c>
    </row>
    <row r="67" spans="1:4" x14ac:dyDescent="0.25">
      <c r="A67" s="3" t="s">
        <v>199</v>
      </c>
      <c r="B67" s="3" t="s">
        <v>200</v>
      </c>
      <c r="C67" s="3" t="s">
        <v>60</v>
      </c>
      <c r="D67" s="3" t="s">
        <v>201</v>
      </c>
    </row>
    <row r="68" spans="1:4" x14ac:dyDescent="0.25">
      <c r="A68" s="3" t="s">
        <v>202</v>
      </c>
      <c r="B68" s="3" t="s">
        <v>203</v>
      </c>
      <c r="C68" s="3" t="s">
        <v>56</v>
      </c>
      <c r="D68" s="3" t="s">
        <v>42</v>
      </c>
    </row>
    <row r="69" spans="1:4" x14ac:dyDescent="0.25">
      <c r="A69" s="3" t="s">
        <v>204</v>
      </c>
      <c r="B69" s="3" t="s">
        <v>205</v>
      </c>
      <c r="C69" s="3" t="s">
        <v>166</v>
      </c>
      <c r="D69" s="3" t="s">
        <v>206</v>
      </c>
    </row>
    <row r="70" spans="1:4" x14ac:dyDescent="0.25">
      <c r="A70" s="3" t="s">
        <v>207</v>
      </c>
      <c r="B70" s="3" t="s">
        <v>208</v>
      </c>
      <c r="C70" s="3" t="s">
        <v>166</v>
      </c>
      <c r="D70" s="3" t="s">
        <v>206</v>
      </c>
    </row>
    <row r="71" spans="1:4" x14ac:dyDescent="0.25">
      <c r="A71" s="3" t="s">
        <v>209</v>
      </c>
      <c r="B71" s="3" t="s">
        <v>210</v>
      </c>
      <c r="C71" s="3" t="s">
        <v>60</v>
      </c>
      <c r="D71" s="3" t="s">
        <v>137</v>
      </c>
    </row>
    <row r="72" spans="1:4" x14ac:dyDescent="0.25">
      <c r="A72" s="3" t="s">
        <v>211</v>
      </c>
      <c r="B72" s="3" t="s">
        <v>212</v>
      </c>
      <c r="C72" s="3" t="s">
        <v>41</v>
      </c>
      <c r="D72" s="3" t="s">
        <v>213</v>
      </c>
    </row>
    <row r="73" spans="1:4" x14ac:dyDescent="0.25">
      <c r="A73" s="3" t="s">
        <v>214</v>
      </c>
      <c r="B73" s="3" t="s">
        <v>215</v>
      </c>
      <c r="C73" s="3" t="s">
        <v>166</v>
      </c>
      <c r="D73" s="3" t="s">
        <v>57</v>
      </c>
    </row>
    <row r="74" spans="1:4" x14ac:dyDescent="0.25">
      <c r="A74" s="3" t="s">
        <v>216</v>
      </c>
      <c r="B74" s="3" t="s">
        <v>217</v>
      </c>
      <c r="C74" s="3" t="s">
        <v>56</v>
      </c>
      <c r="D74" s="3" t="s">
        <v>46</v>
      </c>
    </row>
    <row r="75" spans="1:4" x14ac:dyDescent="0.25">
      <c r="A75" s="3" t="s">
        <v>218</v>
      </c>
      <c r="B75" s="3" t="s">
        <v>219</v>
      </c>
      <c r="C75" s="3" t="s">
        <v>160</v>
      </c>
      <c r="D75" s="3" t="s">
        <v>72</v>
      </c>
    </row>
    <row r="76" spans="1:4" x14ac:dyDescent="0.25">
      <c r="A76" s="3" t="s">
        <v>220</v>
      </c>
      <c r="B76" s="3" t="s">
        <v>221</v>
      </c>
      <c r="C76" s="3" t="s">
        <v>45</v>
      </c>
      <c r="D76" s="3" t="s">
        <v>66</v>
      </c>
    </row>
    <row r="77" spans="1:4" x14ac:dyDescent="0.25">
      <c r="A77" s="3" t="s">
        <v>222</v>
      </c>
      <c r="B77" s="3" t="s">
        <v>223</v>
      </c>
      <c r="C77" s="3" t="s">
        <v>45</v>
      </c>
      <c r="D77" s="3" t="s">
        <v>224</v>
      </c>
    </row>
    <row r="78" spans="1:4" x14ac:dyDescent="0.25">
      <c r="A78" s="3" t="s">
        <v>225</v>
      </c>
      <c r="B78" s="3" t="s">
        <v>226</v>
      </c>
      <c r="C78" s="3" t="s">
        <v>71</v>
      </c>
      <c r="D78" s="3" t="s">
        <v>227</v>
      </c>
    </row>
    <row r="79" spans="1:4" x14ac:dyDescent="0.25">
      <c r="A79" s="3" t="s">
        <v>228</v>
      </c>
      <c r="B79" s="3" t="s">
        <v>229</v>
      </c>
      <c r="C79" s="3" t="s">
        <v>60</v>
      </c>
      <c r="D79" s="3" t="s">
        <v>137</v>
      </c>
    </row>
    <row r="80" spans="1:4" x14ac:dyDescent="0.25">
      <c r="A80" s="3" t="s">
        <v>230</v>
      </c>
      <c r="B80" s="3" t="s">
        <v>231</v>
      </c>
      <c r="C80" s="3" t="s">
        <v>56</v>
      </c>
      <c r="D80" s="3" t="s">
        <v>42</v>
      </c>
    </row>
    <row r="81" spans="1:4" x14ac:dyDescent="0.25">
      <c r="A81" s="3" t="s">
        <v>232</v>
      </c>
      <c r="B81" s="3" t="s">
        <v>233</v>
      </c>
      <c r="C81" s="3" t="s">
        <v>56</v>
      </c>
      <c r="D81" s="3" t="s">
        <v>234</v>
      </c>
    </row>
    <row r="82" spans="1:4" x14ac:dyDescent="0.25">
      <c r="A82" s="3" t="s">
        <v>235</v>
      </c>
      <c r="B82" s="3" t="s">
        <v>236</v>
      </c>
      <c r="C82" s="3" t="s">
        <v>60</v>
      </c>
      <c r="D82" s="3" t="s">
        <v>137</v>
      </c>
    </row>
    <row r="83" spans="1:4" x14ac:dyDescent="0.25">
      <c r="A83" s="3" t="s">
        <v>237</v>
      </c>
      <c r="B83" s="3" t="s">
        <v>238</v>
      </c>
      <c r="C83" s="3" t="s">
        <v>45</v>
      </c>
      <c r="D83" s="3" t="s">
        <v>66</v>
      </c>
    </row>
    <row r="84" spans="1:4" x14ac:dyDescent="0.25">
      <c r="A84" s="3" t="s">
        <v>239</v>
      </c>
      <c r="B84" s="3" t="s">
        <v>240</v>
      </c>
      <c r="C84" s="3" t="s">
        <v>45</v>
      </c>
      <c r="D84" s="3" t="s">
        <v>57</v>
      </c>
    </row>
    <row r="85" spans="1:4" x14ac:dyDescent="0.25">
      <c r="A85" s="3" t="s">
        <v>241</v>
      </c>
      <c r="B85" s="3" t="s">
        <v>242</v>
      </c>
      <c r="C85" s="3" t="s">
        <v>45</v>
      </c>
      <c r="D85" s="3" t="s">
        <v>66</v>
      </c>
    </row>
    <row r="86" spans="1:4" x14ac:dyDescent="0.25">
      <c r="A86" s="3" t="s">
        <v>243</v>
      </c>
      <c r="B86" s="3" t="s">
        <v>244</v>
      </c>
      <c r="C86" s="3" t="s">
        <v>45</v>
      </c>
      <c r="D86" s="3" t="s">
        <v>72</v>
      </c>
    </row>
    <row r="87" spans="1:4" x14ac:dyDescent="0.25">
      <c r="A87" s="3" t="s">
        <v>245</v>
      </c>
      <c r="B87" s="3" t="s">
        <v>246</v>
      </c>
      <c r="C87" s="3" t="s">
        <v>247</v>
      </c>
      <c r="D87" s="3" t="s">
        <v>75</v>
      </c>
    </row>
    <row r="88" spans="1:4" x14ac:dyDescent="0.25">
      <c r="A88" s="3" t="s">
        <v>248</v>
      </c>
      <c r="B88" s="3" t="s">
        <v>249</v>
      </c>
      <c r="C88" s="3" t="s">
        <v>191</v>
      </c>
      <c r="D88" s="3" t="s">
        <v>75</v>
      </c>
    </row>
    <row r="89" spans="1:4" x14ac:dyDescent="0.25">
      <c r="A89" s="3" t="s">
        <v>250</v>
      </c>
      <c r="B89" s="3" t="s">
        <v>251</v>
      </c>
      <c r="C89" s="3" t="s">
        <v>252</v>
      </c>
      <c r="D89" s="3" t="s">
        <v>101</v>
      </c>
    </row>
    <row r="90" spans="1:4" x14ac:dyDescent="0.25">
      <c r="A90" s="3" t="s">
        <v>253</v>
      </c>
      <c r="B90" s="3" t="s">
        <v>254</v>
      </c>
      <c r="C90" s="3" t="s">
        <v>60</v>
      </c>
      <c r="D90" s="3" t="s">
        <v>137</v>
      </c>
    </row>
    <row r="91" spans="1:4" x14ac:dyDescent="0.25">
      <c r="A91" s="3" t="s">
        <v>255</v>
      </c>
      <c r="B91" s="3" t="s">
        <v>256</v>
      </c>
      <c r="C91" s="3" t="s">
        <v>56</v>
      </c>
      <c r="D91" s="3" t="s">
        <v>257</v>
      </c>
    </row>
    <row r="92" spans="1:4" x14ac:dyDescent="0.25">
      <c r="A92" s="3" t="s">
        <v>258</v>
      </c>
      <c r="B92" s="3" t="s">
        <v>259</v>
      </c>
      <c r="C92" s="3" t="s">
        <v>247</v>
      </c>
      <c r="D92" s="3" t="s">
        <v>201</v>
      </c>
    </row>
    <row r="93" spans="1:4" x14ac:dyDescent="0.25">
      <c r="A93" s="3" t="s">
        <v>260</v>
      </c>
      <c r="B93" s="3" t="s">
        <v>261</v>
      </c>
      <c r="C93" s="3" t="s">
        <v>60</v>
      </c>
      <c r="D93" s="3" t="s">
        <v>137</v>
      </c>
    </row>
    <row r="94" spans="1:4" x14ac:dyDescent="0.25">
      <c r="A94" s="3" t="s">
        <v>262</v>
      </c>
      <c r="B94" s="3" t="s">
        <v>263</v>
      </c>
      <c r="C94" s="3" t="s">
        <v>45</v>
      </c>
      <c r="D94" s="3" t="s">
        <v>72</v>
      </c>
    </row>
    <row r="95" spans="1:4" x14ac:dyDescent="0.25">
      <c r="A95" s="3" t="s">
        <v>264</v>
      </c>
      <c r="B95" s="3" t="s">
        <v>265</v>
      </c>
      <c r="C95" s="3" t="s">
        <v>266</v>
      </c>
      <c r="D95" s="3" t="s">
        <v>267</v>
      </c>
    </row>
    <row r="96" spans="1:4" x14ac:dyDescent="0.25">
      <c r="A96" s="3" t="s">
        <v>268</v>
      </c>
      <c r="B96" s="3" t="s">
        <v>269</v>
      </c>
      <c r="C96" s="3" t="s">
        <v>45</v>
      </c>
      <c r="D96" s="3" t="s">
        <v>72</v>
      </c>
    </row>
    <row r="97" spans="1:4" x14ac:dyDescent="0.25">
      <c r="A97" s="3" t="s">
        <v>270</v>
      </c>
      <c r="B97" s="3" t="s">
        <v>271</v>
      </c>
      <c r="C97" s="3" t="s">
        <v>45</v>
      </c>
      <c r="D97" s="3" t="s">
        <v>72</v>
      </c>
    </row>
    <row r="98" spans="1:4" x14ac:dyDescent="0.25">
      <c r="A98" s="3" t="s">
        <v>272</v>
      </c>
      <c r="B98" s="3" t="s">
        <v>273</v>
      </c>
      <c r="C98" s="3" t="s">
        <v>45</v>
      </c>
      <c r="D98" s="3" t="s">
        <v>72</v>
      </c>
    </row>
    <row r="99" spans="1:4" x14ac:dyDescent="0.25">
      <c r="A99" s="3" t="s">
        <v>274</v>
      </c>
      <c r="B99" s="3" t="s">
        <v>275</v>
      </c>
      <c r="C99" s="3" t="s">
        <v>252</v>
      </c>
      <c r="D99" s="3" t="s">
        <v>61</v>
      </c>
    </row>
    <row r="100" spans="1:4" x14ac:dyDescent="0.25">
      <c r="A100" s="3" t="s">
        <v>276</v>
      </c>
      <c r="B100" s="3" t="s">
        <v>277</v>
      </c>
      <c r="C100" s="3" t="s">
        <v>166</v>
      </c>
      <c r="D100" s="3" t="s">
        <v>206</v>
      </c>
    </row>
    <row r="101" spans="1:4" x14ac:dyDescent="0.25">
      <c r="A101" s="3" t="s">
        <v>278</v>
      </c>
      <c r="B101" s="3" t="s">
        <v>279</v>
      </c>
      <c r="C101" s="3" t="s">
        <v>247</v>
      </c>
      <c r="D101" s="3" t="s">
        <v>72</v>
      </c>
    </row>
    <row r="102" spans="1:4" x14ac:dyDescent="0.25">
      <c r="A102" s="3" t="s">
        <v>280</v>
      </c>
      <c r="B102" s="3" t="s">
        <v>281</v>
      </c>
      <c r="C102" s="3" t="s">
        <v>160</v>
      </c>
      <c r="D102" s="3" t="s">
        <v>57</v>
      </c>
    </row>
    <row r="103" spans="1:4" x14ac:dyDescent="0.25">
      <c r="A103" s="3" t="s">
        <v>282</v>
      </c>
      <c r="B103" s="3" t="s">
        <v>283</v>
      </c>
      <c r="C103" s="3" t="s">
        <v>284</v>
      </c>
      <c r="D103" s="3" t="s">
        <v>61</v>
      </c>
    </row>
    <row r="104" spans="1:4" x14ac:dyDescent="0.25">
      <c r="A104" s="3" t="s">
        <v>285</v>
      </c>
      <c r="B104" s="3" t="s">
        <v>286</v>
      </c>
      <c r="C104" s="3" t="s">
        <v>45</v>
      </c>
      <c r="D104" s="3" t="s">
        <v>42</v>
      </c>
    </row>
    <row r="105" spans="1:4" x14ac:dyDescent="0.25">
      <c r="A105" s="3" t="s">
        <v>287</v>
      </c>
      <c r="B105" s="3" t="s">
        <v>288</v>
      </c>
      <c r="C105" s="3" t="s">
        <v>60</v>
      </c>
      <c r="D105" s="3" t="s">
        <v>137</v>
      </c>
    </row>
    <row r="106" spans="1:4" x14ac:dyDescent="0.25">
      <c r="A106" s="3" t="s">
        <v>289</v>
      </c>
      <c r="B106" s="3" t="s">
        <v>290</v>
      </c>
      <c r="C106" s="3" t="s">
        <v>71</v>
      </c>
      <c r="D106" s="3" t="s">
        <v>85</v>
      </c>
    </row>
    <row r="107" spans="1:4" x14ac:dyDescent="0.25">
      <c r="A107" s="3" t="s">
        <v>291</v>
      </c>
      <c r="B107" s="3" t="s">
        <v>292</v>
      </c>
      <c r="C107" s="3" t="s">
        <v>247</v>
      </c>
      <c r="D107" s="3" t="s">
        <v>293</v>
      </c>
    </row>
    <row r="108" spans="1:4" x14ac:dyDescent="0.25">
      <c r="A108" s="3" t="s">
        <v>294</v>
      </c>
      <c r="B108" s="3" t="s">
        <v>295</v>
      </c>
      <c r="C108" s="3" t="s">
        <v>166</v>
      </c>
      <c r="D108" s="3" t="s">
        <v>42</v>
      </c>
    </row>
    <row r="109" spans="1:4" x14ac:dyDescent="0.25">
      <c r="A109" s="3" t="s">
        <v>296</v>
      </c>
      <c r="B109" s="3" t="s">
        <v>297</v>
      </c>
      <c r="C109" s="3" t="s">
        <v>166</v>
      </c>
      <c r="D109" s="3" t="s">
        <v>298</v>
      </c>
    </row>
    <row r="110" spans="1:4" x14ac:dyDescent="0.25">
      <c r="A110" s="3" t="s">
        <v>299</v>
      </c>
      <c r="B110" s="3" t="s">
        <v>300</v>
      </c>
      <c r="C110" s="3" t="s">
        <v>166</v>
      </c>
      <c r="D110" s="3" t="s">
        <v>301</v>
      </c>
    </row>
    <row r="111" spans="1:4" x14ac:dyDescent="0.25">
      <c r="A111" s="3" t="s">
        <v>302</v>
      </c>
      <c r="B111" s="3" t="s">
        <v>303</v>
      </c>
      <c r="C111" s="3" t="s">
        <v>45</v>
      </c>
      <c r="D111" s="3" t="s">
        <v>66</v>
      </c>
    </row>
    <row r="112" spans="1:4" x14ac:dyDescent="0.25">
      <c r="A112" s="3" t="s">
        <v>304</v>
      </c>
      <c r="B112" s="3" t="s">
        <v>305</v>
      </c>
      <c r="C112" s="3" t="s">
        <v>71</v>
      </c>
      <c r="D112" s="3" t="s">
        <v>46</v>
      </c>
    </row>
    <row r="113" spans="1:4" x14ac:dyDescent="0.25">
      <c r="A113" s="3" t="s">
        <v>306</v>
      </c>
      <c r="B113" s="3" t="s">
        <v>307</v>
      </c>
      <c r="C113" s="3" t="s">
        <v>56</v>
      </c>
      <c r="D113" s="3" t="s">
        <v>46</v>
      </c>
    </row>
    <row r="114" spans="1:4" x14ac:dyDescent="0.25">
      <c r="A114" s="3" t="s">
        <v>308</v>
      </c>
      <c r="B114" s="3" t="s">
        <v>309</v>
      </c>
      <c r="C114" s="3" t="s">
        <v>191</v>
      </c>
      <c r="D114" s="3" t="s">
        <v>61</v>
      </c>
    </row>
    <row r="115" spans="1:4" x14ac:dyDescent="0.25">
      <c r="A115" s="3" t="s">
        <v>310</v>
      </c>
      <c r="B115" s="3" t="s">
        <v>311</v>
      </c>
      <c r="C115" s="3" t="s">
        <v>166</v>
      </c>
      <c r="D115" s="3" t="s">
        <v>61</v>
      </c>
    </row>
    <row r="116" spans="1:4" x14ac:dyDescent="0.25">
      <c r="A116" s="3" t="s">
        <v>312</v>
      </c>
      <c r="B116" s="3" t="s">
        <v>313</v>
      </c>
      <c r="C116" s="3" t="s">
        <v>56</v>
      </c>
      <c r="D116" s="3" t="s">
        <v>46</v>
      </c>
    </row>
    <row r="117" spans="1:4" x14ac:dyDescent="0.25">
      <c r="A117" s="3" t="s">
        <v>314</v>
      </c>
      <c r="B117" s="3" t="s">
        <v>315</v>
      </c>
      <c r="C117" s="3" t="s">
        <v>191</v>
      </c>
      <c r="D117" s="3" t="s">
        <v>61</v>
      </c>
    </row>
    <row r="118" spans="1:4" x14ac:dyDescent="0.25">
      <c r="A118" s="3" t="s">
        <v>316</v>
      </c>
      <c r="B118" s="3" t="s">
        <v>317</v>
      </c>
      <c r="C118" s="3" t="s">
        <v>45</v>
      </c>
      <c r="D118" s="3" t="s">
        <v>66</v>
      </c>
    </row>
    <row r="119" spans="1:4" x14ac:dyDescent="0.25">
      <c r="A119" s="3" t="s">
        <v>318</v>
      </c>
      <c r="B119" s="3" t="s">
        <v>319</v>
      </c>
      <c r="C119" s="3" t="s">
        <v>45</v>
      </c>
      <c r="D119" s="3" t="s">
        <v>72</v>
      </c>
    </row>
    <row r="120" spans="1:4" x14ac:dyDescent="0.25">
      <c r="A120" s="3" t="s">
        <v>320</v>
      </c>
      <c r="B120" s="3" t="s">
        <v>321</v>
      </c>
      <c r="C120" s="3" t="s">
        <v>45</v>
      </c>
      <c r="D120" s="3" t="s">
        <v>72</v>
      </c>
    </row>
    <row r="121" spans="1:4" x14ac:dyDescent="0.25">
      <c r="A121" s="3" t="s">
        <v>322</v>
      </c>
      <c r="B121" s="3" t="s">
        <v>323</v>
      </c>
      <c r="C121" s="3" t="s">
        <v>166</v>
      </c>
      <c r="D121" s="3" t="s">
        <v>206</v>
      </c>
    </row>
    <row r="122" spans="1:4" x14ac:dyDescent="0.25">
      <c r="A122" s="3" t="s">
        <v>324</v>
      </c>
      <c r="B122" s="3" t="s">
        <v>325</v>
      </c>
      <c r="C122" s="3" t="s">
        <v>45</v>
      </c>
      <c r="D122" s="3" t="s">
        <v>66</v>
      </c>
    </row>
    <row r="123" spans="1:4" x14ac:dyDescent="0.25">
      <c r="A123" s="3" t="s">
        <v>326</v>
      </c>
      <c r="B123" s="3" t="s">
        <v>327</v>
      </c>
      <c r="C123" s="3" t="s">
        <v>71</v>
      </c>
      <c r="D123" s="3" t="s">
        <v>85</v>
      </c>
    </row>
    <row r="124" spans="1:4" x14ac:dyDescent="0.25">
      <c r="A124" s="3" t="s">
        <v>328</v>
      </c>
      <c r="B124" s="3" t="s">
        <v>329</v>
      </c>
      <c r="C124" s="3" t="s">
        <v>45</v>
      </c>
      <c r="D124" s="3" t="s">
        <v>61</v>
      </c>
    </row>
    <row r="125" spans="1:4" x14ac:dyDescent="0.25">
      <c r="A125" s="3" t="s">
        <v>330</v>
      </c>
      <c r="B125" s="3" t="s">
        <v>331</v>
      </c>
      <c r="C125" s="3" t="s">
        <v>45</v>
      </c>
      <c r="D125" s="3" t="s">
        <v>332</v>
      </c>
    </row>
    <row r="126" spans="1:4" x14ac:dyDescent="0.25">
      <c r="A126" s="3" t="s">
        <v>333</v>
      </c>
      <c r="B126" s="3" t="s">
        <v>334</v>
      </c>
      <c r="C126" s="3" t="s">
        <v>45</v>
      </c>
      <c r="D126" s="3" t="s">
        <v>66</v>
      </c>
    </row>
    <row r="127" spans="1:4" x14ac:dyDescent="0.25">
      <c r="A127" s="3" t="s">
        <v>335</v>
      </c>
      <c r="B127" s="3" t="s">
        <v>336</v>
      </c>
      <c r="C127" s="3" t="s">
        <v>247</v>
      </c>
      <c r="D127" s="3" t="s">
        <v>61</v>
      </c>
    </row>
    <row r="128" spans="1:4" x14ac:dyDescent="0.25">
      <c r="A128" s="3" t="s">
        <v>337</v>
      </c>
      <c r="B128" s="3" t="s">
        <v>338</v>
      </c>
      <c r="C128" s="3" t="s">
        <v>45</v>
      </c>
      <c r="D128" s="3" t="s">
        <v>267</v>
      </c>
    </row>
    <row r="129" spans="1:4" x14ac:dyDescent="0.25">
      <c r="A129" s="3" t="s">
        <v>339</v>
      </c>
      <c r="B129" s="3" t="s">
        <v>340</v>
      </c>
      <c r="C129" s="3" t="s">
        <v>45</v>
      </c>
      <c r="D129" s="3" t="s">
        <v>72</v>
      </c>
    </row>
    <row r="130" spans="1:4" x14ac:dyDescent="0.25">
      <c r="A130" s="3" t="s">
        <v>341</v>
      </c>
      <c r="B130" s="3" t="s">
        <v>342</v>
      </c>
      <c r="C130" s="3" t="s">
        <v>108</v>
      </c>
      <c r="D130" s="3" t="s">
        <v>227</v>
      </c>
    </row>
    <row r="131" spans="1:4" x14ac:dyDescent="0.25">
      <c r="A131" s="3" t="s">
        <v>343</v>
      </c>
      <c r="B131" s="3" t="s">
        <v>344</v>
      </c>
      <c r="C131" s="3" t="s">
        <v>71</v>
      </c>
      <c r="D131" s="3" t="s">
        <v>85</v>
      </c>
    </row>
    <row r="132" spans="1:4" x14ac:dyDescent="0.25">
      <c r="A132" s="3" t="s">
        <v>345</v>
      </c>
      <c r="B132" s="3" t="s">
        <v>346</v>
      </c>
      <c r="C132" s="3" t="s">
        <v>45</v>
      </c>
      <c r="D132" s="3" t="s">
        <v>66</v>
      </c>
    </row>
    <row r="133" spans="1:4" x14ac:dyDescent="0.25">
      <c r="A133" s="3" t="s">
        <v>347</v>
      </c>
      <c r="B133" s="3" t="s">
        <v>348</v>
      </c>
      <c r="C133" s="3" t="s">
        <v>60</v>
      </c>
      <c r="D133" s="3" t="s">
        <v>137</v>
      </c>
    </row>
    <row r="134" spans="1:4" x14ac:dyDescent="0.25">
      <c r="A134" s="3" t="s">
        <v>349</v>
      </c>
      <c r="B134" s="3" t="s">
        <v>350</v>
      </c>
      <c r="C134" s="3" t="s">
        <v>45</v>
      </c>
      <c r="D134" s="3" t="s">
        <v>72</v>
      </c>
    </row>
    <row r="135" spans="1:4" x14ac:dyDescent="0.25">
      <c r="A135" s="3" t="s">
        <v>351</v>
      </c>
      <c r="B135" s="3" t="s">
        <v>352</v>
      </c>
      <c r="C135" s="3" t="s">
        <v>166</v>
      </c>
      <c r="D135" s="3" t="s">
        <v>227</v>
      </c>
    </row>
    <row r="136" spans="1:4" x14ac:dyDescent="0.25">
      <c r="A136" s="3" t="s">
        <v>353</v>
      </c>
      <c r="B136" s="3" t="s">
        <v>354</v>
      </c>
      <c r="C136" s="3" t="s">
        <v>60</v>
      </c>
      <c r="D136" s="3" t="s">
        <v>137</v>
      </c>
    </row>
    <row r="137" spans="1:4" x14ac:dyDescent="0.25">
      <c r="A137" s="3" t="s">
        <v>355</v>
      </c>
      <c r="B137" s="3" t="s">
        <v>356</v>
      </c>
      <c r="C137" s="3" t="s">
        <v>147</v>
      </c>
      <c r="D137" s="3" t="s">
        <v>267</v>
      </c>
    </row>
    <row r="138" spans="1:4" x14ac:dyDescent="0.25">
      <c r="A138" s="3" t="s">
        <v>357</v>
      </c>
      <c r="B138" s="3" t="s">
        <v>358</v>
      </c>
      <c r="C138" s="3" t="s">
        <v>45</v>
      </c>
      <c r="D138" s="3" t="s">
        <v>61</v>
      </c>
    </row>
    <row r="139" spans="1:4" x14ac:dyDescent="0.25">
      <c r="A139" s="3" t="s">
        <v>359</v>
      </c>
      <c r="B139" s="3" t="s">
        <v>360</v>
      </c>
      <c r="C139" s="3" t="s">
        <v>147</v>
      </c>
      <c r="D139" s="3" t="s">
        <v>46</v>
      </c>
    </row>
    <row r="140" spans="1:4" x14ac:dyDescent="0.25">
      <c r="A140" s="3" t="s">
        <v>361</v>
      </c>
      <c r="B140" s="3" t="s">
        <v>362</v>
      </c>
      <c r="C140" s="3" t="s">
        <v>52</v>
      </c>
      <c r="D140" s="3" t="s">
        <v>46</v>
      </c>
    </row>
    <row r="141" spans="1:4" x14ac:dyDescent="0.25">
      <c r="A141" s="3" t="s">
        <v>363</v>
      </c>
      <c r="B141" s="3" t="s">
        <v>364</v>
      </c>
      <c r="C141" s="3" t="s">
        <v>45</v>
      </c>
      <c r="D141" s="3" t="s">
        <v>42</v>
      </c>
    </row>
    <row r="142" spans="1:4" x14ac:dyDescent="0.25">
      <c r="A142" s="3" t="s">
        <v>365</v>
      </c>
      <c r="B142" s="3" t="s">
        <v>366</v>
      </c>
      <c r="C142" s="3" t="s">
        <v>367</v>
      </c>
      <c r="D142" s="3" t="s">
        <v>61</v>
      </c>
    </row>
    <row r="143" spans="1:4" x14ac:dyDescent="0.25">
      <c r="A143" s="3" t="s">
        <v>368</v>
      </c>
      <c r="B143" s="3" t="s">
        <v>369</v>
      </c>
      <c r="C143" s="3" t="s">
        <v>147</v>
      </c>
      <c r="D143" s="3" t="s">
        <v>80</v>
      </c>
    </row>
    <row r="144" spans="1:4" x14ac:dyDescent="0.25">
      <c r="A144" s="3" t="s">
        <v>370</v>
      </c>
      <c r="B144" s="3" t="s">
        <v>371</v>
      </c>
      <c r="C144" s="3" t="s">
        <v>45</v>
      </c>
      <c r="D144" s="3" t="s">
        <v>66</v>
      </c>
    </row>
    <row r="145" spans="1:4" x14ac:dyDescent="0.25">
      <c r="A145" s="3" t="s">
        <v>372</v>
      </c>
      <c r="B145" s="3" t="s">
        <v>373</v>
      </c>
      <c r="C145" s="3" t="s">
        <v>166</v>
      </c>
      <c r="D145" s="3" t="s">
        <v>206</v>
      </c>
    </row>
    <row r="146" spans="1:4" x14ac:dyDescent="0.25">
      <c r="A146" s="3" t="s">
        <v>374</v>
      </c>
      <c r="B146" s="3" t="s">
        <v>375</v>
      </c>
      <c r="C146" s="3" t="s">
        <v>71</v>
      </c>
      <c r="D146" s="3" t="s">
        <v>227</v>
      </c>
    </row>
    <row r="147" spans="1:4" x14ac:dyDescent="0.25">
      <c r="A147" s="3" t="s">
        <v>376</v>
      </c>
      <c r="B147" s="3" t="s">
        <v>377</v>
      </c>
      <c r="C147" s="3" t="s">
        <v>56</v>
      </c>
      <c r="D147" s="3" t="s">
        <v>46</v>
      </c>
    </row>
    <row r="148" spans="1:4" x14ac:dyDescent="0.25">
      <c r="A148" s="3" t="s">
        <v>378</v>
      </c>
      <c r="B148" s="3" t="s">
        <v>379</v>
      </c>
      <c r="C148" s="3" t="s">
        <v>45</v>
      </c>
      <c r="D148" s="3" t="s">
        <v>66</v>
      </c>
    </row>
    <row r="149" spans="1:4" x14ac:dyDescent="0.25">
      <c r="A149" s="3" t="s">
        <v>380</v>
      </c>
      <c r="B149" s="3" t="s">
        <v>381</v>
      </c>
      <c r="C149" s="3" t="s">
        <v>45</v>
      </c>
      <c r="D149" s="3" t="s">
        <v>224</v>
      </c>
    </row>
    <row r="150" spans="1:4" x14ac:dyDescent="0.25">
      <c r="A150" s="3" t="s">
        <v>382</v>
      </c>
      <c r="B150" s="3" t="s">
        <v>383</v>
      </c>
      <c r="C150" s="3" t="s">
        <v>45</v>
      </c>
      <c r="D150" s="3" t="s">
        <v>61</v>
      </c>
    </row>
    <row r="151" spans="1:4" x14ac:dyDescent="0.25">
      <c r="A151" s="3" t="s">
        <v>384</v>
      </c>
      <c r="B151" s="3" t="s">
        <v>385</v>
      </c>
      <c r="C151" s="3" t="s">
        <v>45</v>
      </c>
      <c r="D151" s="3" t="s">
        <v>386</v>
      </c>
    </row>
    <row r="152" spans="1:4" x14ac:dyDescent="0.25">
      <c r="A152" s="3" t="s">
        <v>387</v>
      </c>
      <c r="B152" s="3" t="s">
        <v>388</v>
      </c>
      <c r="C152" s="3" t="s">
        <v>45</v>
      </c>
      <c r="D152" s="3" t="s">
        <v>61</v>
      </c>
    </row>
    <row r="153" spans="1:4" x14ac:dyDescent="0.25">
      <c r="A153" s="3" t="s">
        <v>389</v>
      </c>
      <c r="B153" s="3" t="s">
        <v>390</v>
      </c>
      <c r="C153" s="3" t="s">
        <v>45</v>
      </c>
      <c r="D153" s="3" t="s">
        <v>66</v>
      </c>
    </row>
    <row r="154" spans="1:4" x14ac:dyDescent="0.25">
      <c r="A154" s="3" t="s">
        <v>391</v>
      </c>
      <c r="B154" s="3" t="s">
        <v>392</v>
      </c>
      <c r="C154" s="3" t="s">
        <v>45</v>
      </c>
      <c r="D154" s="3" t="s">
        <v>66</v>
      </c>
    </row>
    <row r="155" spans="1:4" x14ac:dyDescent="0.25">
      <c r="A155" s="3" t="s">
        <v>393</v>
      </c>
      <c r="B155" s="3" t="s">
        <v>394</v>
      </c>
      <c r="C155" s="3" t="s">
        <v>166</v>
      </c>
      <c r="D155" s="3" t="s">
        <v>301</v>
      </c>
    </row>
    <row r="156" spans="1:4" x14ac:dyDescent="0.25">
      <c r="A156" s="3" t="s">
        <v>395</v>
      </c>
      <c r="B156" s="3" t="s">
        <v>396</v>
      </c>
      <c r="C156" s="3" t="s">
        <v>166</v>
      </c>
      <c r="D156" s="3" t="s">
        <v>206</v>
      </c>
    </row>
    <row r="157" spans="1:4" x14ac:dyDescent="0.25">
      <c r="A157" s="3" t="s">
        <v>397</v>
      </c>
      <c r="B157" s="3" t="s">
        <v>398</v>
      </c>
      <c r="C157" s="3" t="s">
        <v>266</v>
      </c>
      <c r="D157" s="3" t="s">
        <v>61</v>
      </c>
    </row>
    <row r="158" spans="1:4" x14ac:dyDescent="0.25">
      <c r="A158" s="3" t="s">
        <v>399</v>
      </c>
      <c r="B158" s="3" t="s">
        <v>400</v>
      </c>
      <c r="C158" s="3" t="s">
        <v>247</v>
      </c>
      <c r="D158" s="3" t="s">
        <v>293</v>
      </c>
    </row>
    <row r="159" spans="1:4" x14ac:dyDescent="0.25">
      <c r="A159" s="3" t="s">
        <v>401</v>
      </c>
      <c r="B159" s="3" t="s">
        <v>402</v>
      </c>
      <c r="C159" s="3" t="s">
        <v>247</v>
      </c>
      <c r="D159" s="3" t="s">
        <v>293</v>
      </c>
    </row>
    <row r="160" spans="1:4" x14ac:dyDescent="0.25">
      <c r="A160" s="3" t="s">
        <v>403</v>
      </c>
      <c r="B160" s="3" t="s">
        <v>404</v>
      </c>
      <c r="C160" s="3" t="s">
        <v>45</v>
      </c>
      <c r="D160" s="3" t="s">
        <v>42</v>
      </c>
    </row>
    <row r="161" spans="1:4" x14ac:dyDescent="0.25">
      <c r="A161" s="3" t="s">
        <v>405</v>
      </c>
      <c r="B161" s="3" t="s">
        <v>406</v>
      </c>
      <c r="C161" s="3" t="s">
        <v>45</v>
      </c>
      <c r="D161" s="3" t="s">
        <v>72</v>
      </c>
    </row>
    <row r="162" spans="1:4" x14ac:dyDescent="0.25">
      <c r="A162" s="3" t="s">
        <v>407</v>
      </c>
      <c r="B162" s="3" t="s">
        <v>408</v>
      </c>
      <c r="C162" s="3" t="s">
        <v>45</v>
      </c>
      <c r="D162" s="3" t="s">
        <v>61</v>
      </c>
    </row>
    <row r="163" spans="1:4" x14ac:dyDescent="0.25">
      <c r="A163" s="3" t="s">
        <v>409</v>
      </c>
      <c r="B163" s="3" t="s">
        <v>410</v>
      </c>
      <c r="C163" s="3" t="s">
        <v>147</v>
      </c>
      <c r="D163" s="3" t="s">
        <v>61</v>
      </c>
    </row>
    <row r="164" spans="1:4" x14ac:dyDescent="0.25">
      <c r="A164" s="3" t="s">
        <v>411</v>
      </c>
      <c r="B164" s="3" t="s">
        <v>412</v>
      </c>
      <c r="C164" s="3" t="s">
        <v>45</v>
      </c>
      <c r="D164" s="3" t="s">
        <v>386</v>
      </c>
    </row>
    <row r="165" spans="1:4" x14ac:dyDescent="0.25">
      <c r="A165" s="3" t="s">
        <v>413</v>
      </c>
      <c r="B165" s="3" t="s">
        <v>414</v>
      </c>
      <c r="C165" s="3" t="s">
        <v>367</v>
      </c>
      <c r="D165" s="3" t="s">
        <v>57</v>
      </c>
    </row>
    <row r="166" spans="1:4" x14ac:dyDescent="0.25">
      <c r="A166" s="3" t="s">
        <v>415</v>
      </c>
      <c r="B166" s="3" t="s">
        <v>416</v>
      </c>
      <c r="C166" s="3" t="s">
        <v>56</v>
      </c>
      <c r="D166" s="3" t="s">
        <v>42</v>
      </c>
    </row>
    <row r="167" spans="1:4" x14ac:dyDescent="0.25">
      <c r="A167" s="3" t="s">
        <v>417</v>
      </c>
      <c r="B167" s="3" t="s">
        <v>418</v>
      </c>
      <c r="C167" s="3" t="s">
        <v>191</v>
      </c>
      <c r="D167" s="3" t="s">
        <v>61</v>
      </c>
    </row>
    <row r="168" spans="1:4" x14ac:dyDescent="0.25">
      <c r="A168" s="3" t="s">
        <v>419</v>
      </c>
      <c r="B168" s="3" t="s">
        <v>420</v>
      </c>
      <c r="C168" s="3" t="s">
        <v>71</v>
      </c>
      <c r="D168" s="3" t="s">
        <v>85</v>
      </c>
    </row>
    <row r="169" spans="1:4" x14ac:dyDescent="0.25">
      <c r="A169" s="3" t="s">
        <v>421</v>
      </c>
      <c r="B169" s="3" t="s">
        <v>422</v>
      </c>
      <c r="C169" s="3" t="s">
        <v>71</v>
      </c>
      <c r="D169" s="3" t="s">
        <v>85</v>
      </c>
    </row>
    <row r="170" spans="1:4" x14ac:dyDescent="0.25">
      <c r="A170" s="3" t="s">
        <v>423</v>
      </c>
      <c r="B170" s="3" t="s">
        <v>424</v>
      </c>
      <c r="C170" s="3" t="s">
        <v>71</v>
      </c>
      <c r="D170" s="3" t="s">
        <v>85</v>
      </c>
    </row>
    <row r="171" spans="1:4" x14ac:dyDescent="0.25">
      <c r="A171" s="3" t="s">
        <v>425</v>
      </c>
      <c r="B171" s="3" t="s">
        <v>426</v>
      </c>
      <c r="C171" s="3" t="s">
        <v>71</v>
      </c>
      <c r="D171" s="3" t="s">
        <v>85</v>
      </c>
    </row>
    <row r="172" spans="1:4" x14ac:dyDescent="0.25">
      <c r="A172" s="3" t="s">
        <v>427</v>
      </c>
      <c r="B172" s="3" t="s">
        <v>428</v>
      </c>
      <c r="C172" s="3" t="s">
        <v>247</v>
      </c>
      <c r="D172" s="3" t="s">
        <v>61</v>
      </c>
    </row>
    <row r="173" spans="1:4" x14ac:dyDescent="0.25">
      <c r="A173" s="3" t="s">
        <v>429</v>
      </c>
      <c r="B173" s="3" t="s">
        <v>430</v>
      </c>
      <c r="C173" s="3" t="s">
        <v>71</v>
      </c>
      <c r="D173" s="3" t="s">
        <v>267</v>
      </c>
    </row>
    <row r="174" spans="1:4" x14ac:dyDescent="0.25">
      <c r="A174" s="3" t="s">
        <v>431</v>
      </c>
      <c r="B174" s="3" t="s">
        <v>432</v>
      </c>
      <c r="C174" s="3" t="s">
        <v>160</v>
      </c>
      <c r="D174" s="3" t="s">
        <v>144</v>
      </c>
    </row>
    <row r="175" spans="1:4" x14ac:dyDescent="0.25">
      <c r="A175" s="3" t="s">
        <v>433</v>
      </c>
      <c r="B175" s="3" t="s">
        <v>434</v>
      </c>
      <c r="C175" s="3" t="s">
        <v>191</v>
      </c>
      <c r="D175" s="3" t="s">
        <v>435</v>
      </c>
    </row>
    <row r="176" spans="1:4" x14ac:dyDescent="0.25">
      <c r="A176" s="3" t="s">
        <v>436</v>
      </c>
      <c r="B176" s="3" t="s">
        <v>437</v>
      </c>
      <c r="C176" s="3" t="s">
        <v>60</v>
      </c>
      <c r="D176" s="3" t="s">
        <v>137</v>
      </c>
    </row>
    <row r="177" spans="1:4" x14ac:dyDescent="0.25">
      <c r="A177" s="3" t="s">
        <v>438</v>
      </c>
      <c r="B177" s="3" t="s">
        <v>439</v>
      </c>
      <c r="C177" s="3" t="s">
        <v>247</v>
      </c>
      <c r="D177" s="3" t="s">
        <v>57</v>
      </c>
    </row>
    <row r="178" spans="1:4" x14ac:dyDescent="0.25">
      <c r="A178" s="3" t="s">
        <v>440</v>
      </c>
      <c r="B178" s="3" t="s">
        <v>441</v>
      </c>
      <c r="C178" s="3" t="s">
        <v>442</v>
      </c>
      <c r="D178" s="3" t="s">
        <v>72</v>
      </c>
    </row>
    <row r="179" spans="1:4" x14ac:dyDescent="0.25">
      <c r="A179" s="3" t="s">
        <v>443</v>
      </c>
      <c r="B179" s="3" t="s">
        <v>444</v>
      </c>
      <c r="C179" s="3" t="s">
        <v>45</v>
      </c>
      <c r="D179" s="3" t="s">
        <v>66</v>
      </c>
    </row>
    <row r="180" spans="1:4" x14ac:dyDescent="0.25">
      <c r="A180" s="3" t="s">
        <v>445</v>
      </c>
      <c r="B180" s="3" t="s">
        <v>446</v>
      </c>
      <c r="C180" s="3" t="s">
        <v>45</v>
      </c>
      <c r="D180" s="3" t="s">
        <v>66</v>
      </c>
    </row>
    <row r="181" spans="1:4" x14ac:dyDescent="0.25">
      <c r="A181" s="3" t="s">
        <v>447</v>
      </c>
      <c r="B181" s="3" t="s">
        <v>448</v>
      </c>
      <c r="C181" s="3" t="s">
        <v>284</v>
      </c>
      <c r="D181" s="3" t="s">
        <v>144</v>
      </c>
    </row>
    <row r="182" spans="1:4" x14ac:dyDescent="0.25">
      <c r="A182" s="3" t="s">
        <v>449</v>
      </c>
      <c r="B182" s="3" t="s">
        <v>450</v>
      </c>
      <c r="C182" s="3" t="s">
        <v>45</v>
      </c>
      <c r="D182" s="3" t="s">
        <v>61</v>
      </c>
    </row>
    <row r="183" spans="1:4" x14ac:dyDescent="0.25">
      <c r="A183" s="3" t="s">
        <v>451</v>
      </c>
      <c r="B183" s="3" t="s">
        <v>452</v>
      </c>
      <c r="C183" s="3" t="s">
        <v>247</v>
      </c>
      <c r="D183" s="3" t="s">
        <v>72</v>
      </c>
    </row>
    <row r="184" spans="1:4" x14ac:dyDescent="0.25">
      <c r="A184" s="3" t="s">
        <v>453</v>
      </c>
      <c r="B184" s="3" t="s">
        <v>454</v>
      </c>
      <c r="C184" s="3" t="s">
        <v>41</v>
      </c>
      <c r="D184" s="3" t="s">
        <v>213</v>
      </c>
    </row>
    <row r="185" spans="1:4" x14ac:dyDescent="0.25">
      <c r="A185" s="3" t="s">
        <v>455</v>
      </c>
      <c r="B185" s="3" t="s">
        <v>456</v>
      </c>
      <c r="C185" s="3" t="s">
        <v>41</v>
      </c>
      <c r="D185" s="3" t="s">
        <v>213</v>
      </c>
    </row>
    <row r="186" spans="1:4" x14ac:dyDescent="0.25">
      <c r="A186" s="3" t="s">
        <v>457</v>
      </c>
      <c r="B186" s="3" t="s">
        <v>458</v>
      </c>
      <c r="C186" s="3" t="s">
        <v>41</v>
      </c>
      <c r="D186" s="3" t="s">
        <v>213</v>
      </c>
    </row>
    <row r="187" spans="1:4" x14ac:dyDescent="0.25">
      <c r="A187" s="3" t="s">
        <v>459</v>
      </c>
      <c r="B187" s="3" t="s">
        <v>460</v>
      </c>
      <c r="C187" s="3" t="s">
        <v>41</v>
      </c>
      <c r="D187" s="3" t="s">
        <v>213</v>
      </c>
    </row>
    <row r="188" spans="1:4" x14ac:dyDescent="0.25">
      <c r="A188" s="3" t="s">
        <v>461</v>
      </c>
      <c r="B188" s="3" t="s">
        <v>462</v>
      </c>
      <c r="C188" s="3" t="s">
        <v>41</v>
      </c>
      <c r="D188" s="3" t="s">
        <v>213</v>
      </c>
    </row>
    <row r="189" spans="1:4" x14ac:dyDescent="0.25">
      <c r="A189" s="3" t="s">
        <v>463</v>
      </c>
      <c r="B189" s="3" t="s">
        <v>464</v>
      </c>
      <c r="C189" s="3" t="s">
        <v>41</v>
      </c>
      <c r="D189" s="3" t="s">
        <v>213</v>
      </c>
    </row>
    <row r="190" spans="1:4" x14ac:dyDescent="0.25">
      <c r="A190" s="3" t="s">
        <v>465</v>
      </c>
      <c r="B190" s="3" t="s">
        <v>466</v>
      </c>
      <c r="C190" s="3" t="s">
        <v>41</v>
      </c>
      <c r="D190" s="3" t="s">
        <v>213</v>
      </c>
    </row>
    <row r="191" spans="1:4" x14ac:dyDescent="0.25">
      <c r="A191" s="3" t="s">
        <v>467</v>
      </c>
      <c r="B191" s="3" t="s">
        <v>468</v>
      </c>
      <c r="C191" s="3" t="s">
        <v>41</v>
      </c>
      <c r="D191" s="3" t="s">
        <v>213</v>
      </c>
    </row>
    <row r="192" spans="1:4" x14ac:dyDescent="0.25">
      <c r="A192" s="3" t="s">
        <v>469</v>
      </c>
      <c r="B192" s="3" t="s">
        <v>470</v>
      </c>
      <c r="C192" s="3" t="s">
        <v>247</v>
      </c>
      <c r="D192" s="3" t="s">
        <v>471</v>
      </c>
    </row>
    <row r="193" spans="1:4" x14ac:dyDescent="0.25">
      <c r="A193" s="3" t="s">
        <v>472</v>
      </c>
      <c r="B193" s="3" t="s">
        <v>473</v>
      </c>
      <c r="C193" s="3" t="s">
        <v>71</v>
      </c>
      <c r="D193" s="3" t="s">
        <v>85</v>
      </c>
    </row>
    <row r="194" spans="1:4" x14ac:dyDescent="0.25">
      <c r="A194" s="3" t="s">
        <v>474</v>
      </c>
      <c r="B194" s="3" t="s">
        <v>475</v>
      </c>
      <c r="C194" s="3" t="s">
        <v>71</v>
      </c>
      <c r="D194" s="3" t="s">
        <v>85</v>
      </c>
    </row>
    <row r="195" spans="1:4" x14ac:dyDescent="0.25">
      <c r="A195" s="3" t="s">
        <v>476</v>
      </c>
      <c r="B195" s="3" t="s">
        <v>477</v>
      </c>
      <c r="C195" s="3" t="s">
        <v>71</v>
      </c>
      <c r="D195" s="3" t="s">
        <v>61</v>
      </c>
    </row>
    <row r="196" spans="1:4" x14ac:dyDescent="0.25">
      <c r="A196" s="3" t="s">
        <v>478</v>
      </c>
      <c r="B196" s="3" t="s">
        <v>479</v>
      </c>
      <c r="C196" s="3" t="s">
        <v>480</v>
      </c>
      <c r="D196" s="3" t="s">
        <v>481</v>
      </c>
    </row>
    <row r="197" spans="1:4" x14ac:dyDescent="0.25">
      <c r="A197" s="3" t="s">
        <v>482</v>
      </c>
      <c r="B197" s="3" t="s">
        <v>483</v>
      </c>
      <c r="C197" s="3" t="s">
        <v>71</v>
      </c>
      <c r="D197" s="3" t="s">
        <v>85</v>
      </c>
    </row>
    <row r="198" spans="1:4" x14ac:dyDescent="0.25">
      <c r="A198" s="3" t="s">
        <v>484</v>
      </c>
      <c r="B198" s="3" t="s">
        <v>485</v>
      </c>
      <c r="C198" s="3" t="s">
        <v>45</v>
      </c>
      <c r="D198" s="3" t="s">
        <v>66</v>
      </c>
    </row>
    <row r="199" spans="1:4" x14ac:dyDescent="0.25">
      <c r="A199" s="3" t="s">
        <v>486</v>
      </c>
      <c r="B199" s="3" t="s">
        <v>487</v>
      </c>
      <c r="C199" s="3" t="s">
        <v>45</v>
      </c>
      <c r="D199" s="3" t="s">
        <v>66</v>
      </c>
    </row>
    <row r="200" spans="1:4" x14ac:dyDescent="0.25">
      <c r="A200" s="3" t="s">
        <v>488</v>
      </c>
      <c r="B200" s="3" t="s">
        <v>489</v>
      </c>
      <c r="C200" s="3" t="s">
        <v>71</v>
      </c>
      <c r="D200" s="3" t="s">
        <v>435</v>
      </c>
    </row>
    <row r="201" spans="1:4" x14ac:dyDescent="0.25">
      <c r="A201" s="3" t="s">
        <v>490</v>
      </c>
      <c r="B201" s="3" t="s">
        <v>491</v>
      </c>
      <c r="C201" s="3" t="s">
        <v>71</v>
      </c>
      <c r="D201" s="3" t="s">
        <v>85</v>
      </c>
    </row>
    <row r="202" spans="1:4" x14ac:dyDescent="0.25">
      <c r="A202" s="3" t="s">
        <v>492</v>
      </c>
      <c r="B202" s="3" t="s">
        <v>493</v>
      </c>
      <c r="C202" s="3" t="s">
        <v>45</v>
      </c>
      <c r="D202" s="3" t="s">
        <v>66</v>
      </c>
    </row>
    <row r="203" spans="1:4" x14ac:dyDescent="0.25">
      <c r="A203" s="3" t="s">
        <v>494</v>
      </c>
      <c r="B203" s="3" t="s">
        <v>495</v>
      </c>
      <c r="C203" s="3" t="s">
        <v>45</v>
      </c>
      <c r="D203" s="3" t="s">
        <v>66</v>
      </c>
    </row>
    <row r="204" spans="1:4" x14ac:dyDescent="0.25">
      <c r="A204" s="3" t="s">
        <v>496</v>
      </c>
      <c r="B204" s="3" t="s">
        <v>497</v>
      </c>
      <c r="C204" s="3" t="s">
        <v>45</v>
      </c>
      <c r="D204" s="3" t="s">
        <v>66</v>
      </c>
    </row>
    <row r="205" spans="1:4" x14ac:dyDescent="0.25">
      <c r="A205" s="3" t="s">
        <v>498</v>
      </c>
      <c r="B205" s="3" t="s">
        <v>499</v>
      </c>
      <c r="C205" s="3" t="s">
        <v>45</v>
      </c>
      <c r="D205" s="3" t="s">
        <v>66</v>
      </c>
    </row>
    <row r="206" spans="1:4" x14ac:dyDescent="0.25">
      <c r="A206" s="3" t="s">
        <v>500</v>
      </c>
      <c r="B206" s="3" t="s">
        <v>501</v>
      </c>
      <c r="C206" s="3" t="s">
        <v>45</v>
      </c>
      <c r="D206" s="3" t="s">
        <v>66</v>
      </c>
    </row>
    <row r="207" spans="1:4" x14ac:dyDescent="0.25">
      <c r="A207" s="3" t="s">
        <v>502</v>
      </c>
      <c r="B207" s="3" t="s">
        <v>503</v>
      </c>
      <c r="C207" s="3" t="s">
        <v>45</v>
      </c>
      <c r="D207" s="3" t="s">
        <v>66</v>
      </c>
    </row>
    <row r="208" spans="1:4" x14ac:dyDescent="0.25">
      <c r="A208" s="3" t="s">
        <v>504</v>
      </c>
      <c r="B208" s="3" t="s">
        <v>505</v>
      </c>
      <c r="C208" s="3" t="s">
        <v>45</v>
      </c>
      <c r="D208" s="3" t="s">
        <v>66</v>
      </c>
    </row>
    <row r="209" spans="1:4" x14ac:dyDescent="0.25">
      <c r="A209" s="3" t="s">
        <v>506</v>
      </c>
      <c r="B209" s="3" t="s">
        <v>507</v>
      </c>
      <c r="C209" s="3" t="s">
        <v>191</v>
      </c>
      <c r="D209" s="3" t="s">
        <v>42</v>
      </c>
    </row>
    <row r="210" spans="1:4" x14ac:dyDescent="0.25">
      <c r="A210" s="3" t="s">
        <v>508</v>
      </c>
      <c r="B210" s="3" t="s">
        <v>509</v>
      </c>
      <c r="C210" s="3" t="s">
        <v>45</v>
      </c>
      <c r="D210" s="3" t="s">
        <v>66</v>
      </c>
    </row>
    <row r="211" spans="1:4" x14ac:dyDescent="0.25">
      <c r="A211" s="3" t="s">
        <v>510</v>
      </c>
      <c r="B211" s="3" t="s">
        <v>511</v>
      </c>
      <c r="C211" s="3" t="s">
        <v>71</v>
      </c>
      <c r="D211" s="3" t="s">
        <v>85</v>
      </c>
    </row>
    <row r="212" spans="1:4" x14ac:dyDescent="0.25">
      <c r="A212" s="3" t="s">
        <v>512</v>
      </c>
      <c r="B212" s="3" t="s">
        <v>513</v>
      </c>
      <c r="C212" s="3" t="s">
        <v>45</v>
      </c>
      <c r="D212" s="3" t="s">
        <v>66</v>
      </c>
    </row>
    <row r="213" spans="1:4" x14ac:dyDescent="0.25">
      <c r="A213" s="3" t="s">
        <v>514</v>
      </c>
      <c r="B213" s="3" t="s">
        <v>515</v>
      </c>
      <c r="C213" s="3" t="s">
        <v>160</v>
      </c>
      <c r="D213" s="3" t="s">
        <v>161</v>
      </c>
    </row>
    <row r="214" spans="1:4" x14ac:dyDescent="0.25">
      <c r="A214" s="3" t="s">
        <v>516</v>
      </c>
      <c r="B214" s="3" t="s">
        <v>517</v>
      </c>
      <c r="C214" s="3" t="s">
        <v>191</v>
      </c>
      <c r="D214" s="3" t="s">
        <v>75</v>
      </c>
    </row>
    <row r="215" spans="1:4" x14ac:dyDescent="0.25">
      <c r="A215" s="3" t="s">
        <v>518</v>
      </c>
      <c r="B215" s="3" t="s">
        <v>519</v>
      </c>
      <c r="C215" s="3" t="s">
        <v>45</v>
      </c>
      <c r="D215" s="3" t="s">
        <v>109</v>
      </c>
    </row>
    <row r="216" spans="1:4" x14ac:dyDescent="0.25">
      <c r="A216" s="3" t="s">
        <v>520</v>
      </c>
      <c r="B216" s="3" t="s">
        <v>521</v>
      </c>
      <c r="C216" s="3" t="s">
        <v>45</v>
      </c>
      <c r="D216" s="3" t="s">
        <v>66</v>
      </c>
    </row>
    <row r="217" spans="1:4" x14ac:dyDescent="0.25">
      <c r="A217" s="3" t="s">
        <v>522</v>
      </c>
      <c r="B217" s="3" t="s">
        <v>523</v>
      </c>
      <c r="C217" s="3" t="s">
        <v>45</v>
      </c>
      <c r="D217" s="3" t="s">
        <v>66</v>
      </c>
    </row>
    <row r="218" spans="1:4" x14ac:dyDescent="0.25">
      <c r="A218" s="3" t="s">
        <v>524</v>
      </c>
      <c r="B218" s="3" t="s">
        <v>525</v>
      </c>
      <c r="C218" s="3" t="s">
        <v>45</v>
      </c>
      <c r="D218" s="3" t="s">
        <v>66</v>
      </c>
    </row>
    <row r="219" spans="1:4" x14ac:dyDescent="0.25">
      <c r="A219" s="3" t="s">
        <v>526</v>
      </c>
      <c r="B219" s="3" t="s">
        <v>527</v>
      </c>
      <c r="C219" s="3" t="s">
        <v>45</v>
      </c>
      <c r="D219" s="3" t="s">
        <v>66</v>
      </c>
    </row>
    <row r="220" spans="1:4" x14ac:dyDescent="0.25">
      <c r="A220" s="3" t="s">
        <v>528</v>
      </c>
      <c r="B220" s="3" t="s">
        <v>529</v>
      </c>
      <c r="C220" s="3" t="s">
        <v>247</v>
      </c>
      <c r="D220" s="3" t="s">
        <v>61</v>
      </c>
    </row>
    <row r="221" spans="1:4" x14ac:dyDescent="0.25">
      <c r="A221" s="3" t="s">
        <v>530</v>
      </c>
      <c r="B221" s="3" t="s">
        <v>531</v>
      </c>
      <c r="C221" s="3" t="s">
        <v>442</v>
      </c>
      <c r="D221" s="3" t="s">
        <v>46</v>
      </c>
    </row>
    <row r="222" spans="1:4" x14ac:dyDescent="0.25">
      <c r="A222" s="3" t="s">
        <v>532</v>
      </c>
      <c r="B222" s="3" t="s">
        <v>533</v>
      </c>
      <c r="C222" s="3" t="s">
        <v>60</v>
      </c>
      <c r="D222" s="3" t="s">
        <v>46</v>
      </c>
    </row>
    <row r="223" spans="1:4" x14ac:dyDescent="0.25">
      <c r="A223" s="3" t="s">
        <v>534</v>
      </c>
      <c r="B223" s="3" t="s">
        <v>535</v>
      </c>
      <c r="C223" s="3" t="s">
        <v>45</v>
      </c>
      <c r="D223" s="3" t="s">
        <v>66</v>
      </c>
    </row>
    <row r="224" spans="1:4" x14ac:dyDescent="0.25">
      <c r="A224" s="3" t="s">
        <v>536</v>
      </c>
      <c r="B224" s="3" t="s">
        <v>537</v>
      </c>
      <c r="C224" s="3" t="s">
        <v>160</v>
      </c>
      <c r="D224" s="3" t="s">
        <v>161</v>
      </c>
    </row>
    <row r="225" spans="1:4" x14ac:dyDescent="0.25">
      <c r="A225" s="3" t="s">
        <v>538</v>
      </c>
      <c r="B225" s="3" t="s">
        <v>539</v>
      </c>
      <c r="C225" s="3" t="s">
        <v>45</v>
      </c>
      <c r="D225" s="3" t="s">
        <v>332</v>
      </c>
    </row>
    <row r="226" spans="1:4" x14ac:dyDescent="0.25">
      <c r="A226" s="3" t="s">
        <v>540</v>
      </c>
      <c r="B226" s="3" t="s">
        <v>541</v>
      </c>
      <c r="C226" s="3" t="s">
        <v>45</v>
      </c>
      <c r="D226" s="3" t="s">
        <v>66</v>
      </c>
    </row>
    <row r="227" spans="1:4" x14ac:dyDescent="0.25">
      <c r="A227" s="3" t="s">
        <v>542</v>
      </c>
      <c r="B227" s="3" t="s">
        <v>543</v>
      </c>
      <c r="C227" s="3" t="s">
        <v>45</v>
      </c>
      <c r="D227" s="3" t="s">
        <v>332</v>
      </c>
    </row>
    <row r="228" spans="1:4" x14ac:dyDescent="0.25">
      <c r="A228" s="3" t="s">
        <v>544</v>
      </c>
      <c r="B228" s="3" t="s">
        <v>545</v>
      </c>
      <c r="C228" s="3" t="s">
        <v>49</v>
      </c>
      <c r="D228" s="3" t="s">
        <v>546</v>
      </c>
    </row>
    <row r="229" spans="1:4" x14ac:dyDescent="0.25">
      <c r="A229" s="3" t="s">
        <v>547</v>
      </c>
      <c r="B229" s="3" t="s">
        <v>548</v>
      </c>
      <c r="C229" s="3" t="s">
        <v>49</v>
      </c>
      <c r="D229" s="3" t="s">
        <v>46</v>
      </c>
    </row>
    <row r="230" spans="1:4" x14ac:dyDescent="0.25">
      <c r="A230" s="3" t="s">
        <v>549</v>
      </c>
      <c r="B230" s="3" t="s">
        <v>550</v>
      </c>
      <c r="C230" s="3" t="s">
        <v>45</v>
      </c>
      <c r="D230" s="3" t="s">
        <v>386</v>
      </c>
    </row>
    <row r="231" spans="1:4" x14ac:dyDescent="0.25">
      <c r="A231" s="3" t="s">
        <v>551</v>
      </c>
      <c r="B231" s="3" t="s">
        <v>552</v>
      </c>
      <c r="C231" s="3" t="s">
        <v>480</v>
      </c>
      <c r="D231" s="3" t="s">
        <v>553</v>
      </c>
    </row>
    <row r="232" spans="1:4" x14ac:dyDescent="0.25">
      <c r="A232" s="3" t="s">
        <v>554</v>
      </c>
      <c r="B232" s="3" t="s">
        <v>555</v>
      </c>
      <c r="C232" s="3" t="s">
        <v>45</v>
      </c>
      <c r="D232" s="3" t="s">
        <v>66</v>
      </c>
    </row>
    <row r="233" spans="1:4" x14ac:dyDescent="0.25">
      <c r="A233" s="3" t="s">
        <v>556</v>
      </c>
      <c r="B233" s="3" t="s">
        <v>557</v>
      </c>
      <c r="C233" s="3" t="s">
        <v>247</v>
      </c>
      <c r="D233" s="3" t="s">
        <v>471</v>
      </c>
    </row>
    <row r="234" spans="1:4" x14ac:dyDescent="0.25">
      <c r="A234" s="3" t="s">
        <v>558</v>
      </c>
      <c r="B234" s="3" t="s">
        <v>559</v>
      </c>
      <c r="C234" s="3" t="s">
        <v>45</v>
      </c>
      <c r="D234" s="3" t="s">
        <v>66</v>
      </c>
    </row>
    <row r="235" spans="1:4" x14ac:dyDescent="0.25">
      <c r="A235" s="3" t="s">
        <v>560</v>
      </c>
      <c r="B235" s="3" t="s">
        <v>561</v>
      </c>
      <c r="C235" s="3" t="s">
        <v>247</v>
      </c>
      <c r="D235" s="3" t="s">
        <v>61</v>
      </c>
    </row>
    <row r="236" spans="1:4" x14ac:dyDescent="0.25">
      <c r="A236" s="3" t="s">
        <v>562</v>
      </c>
      <c r="B236" s="3" t="s">
        <v>563</v>
      </c>
      <c r="C236" s="3" t="s">
        <v>45</v>
      </c>
      <c r="D236" s="3" t="s">
        <v>66</v>
      </c>
    </row>
    <row r="237" spans="1:4" x14ac:dyDescent="0.25">
      <c r="A237" s="3" t="s">
        <v>564</v>
      </c>
      <c r="B237" s="3" t="s">
        <v>565</v>
      </c>
      <c r="C237" s="3" t="s">
        <v>45</v>
      </c>
      <c r="D237" s="3" t="s">
        <v>66</v>
      </c>
    </row>
    <row r="238" spans="1:4" x14ac:dyDescent="0.25">
      <c r="A238" s="3" t="s">
        <v>566</v>
      </c>
      <c r="B238" s="3" t="s">
        <v>567</v>
      </c>
      <c r="C238" s="3" t="s">
        <v>45</v>
      </c>
      <c r="D238" s="3" t="s">
        <v>66</v>
      </c>
    </row>
    <row r="239" spans="1:4" x14ac:dyDescent="0.25">
      <c r="A239" s="3" t="s">
        <v>568</v>
      </c>
      <c r="B239" s="3" t="s">
        <v>569</v>
      </c>
      <c r="C239" s="3" t="s">
        <v>45</v>
      </c>
      <c r="D239" s="3" t="s">
        <v>66</v>
      </c>
    </row>
    <row r="240" spans="1:4" x14ac:dyDescent="0.25">
      <c r="A240" s="3" t="s">
        <v>570</v>
      </c>
      <c r="B240" s="3" t="s">
        <v>571</v>
      </c>
      <c r="C240" s="3" t="s">
        <v>45</v>
      </c>
      <c r="D240" s="3" t="s">
        <v>66</v>
      </c>
    </row>
    <row r="241" spans="1:4" x14ac:dyDescent="0.25">
      <c r="A241" s="3" t="s">
        <v>572</v>
      </c>
      <c r="B241" s="3" t="s">
        <v>573</v>
      </c>
      <c r="C241" s="3" t="s">
        <v>45</v>
      </c>
      <c r="D241" s="3" t="s">
        <v>66</v>
      </c>
    </row>
    <row r="242" spans="1:4" x14ac:dyDescent="0.25">
      <c r="A242" s="3" t="s">
        <v>574</v>
      </c>
      <c r="B242" s="3" t="s">
        <v>575</v>
      </c>
      <c r="C242" s="3" t="s">
        <v>45</v>
      </c>
      <c r="D242" s="3" t="s">
        <v>66</v>
      </c>
    </row>
    <row r="243" spans="1:4" x14ac:dyDescent="0.25">
      <c r="A243" s="3" t="s">
        <v>576</v>
      </c>
      <c r="B243" s="3" t="s">
        <v>577</v>
      </c>
      <c r="C243" s="3" t="s">
        <v>45</v>
      </c>
      <c r="D243" s="3" t="s">
        <v>66</v>
      </c>
    </row>
    <row r="244" spans="1:4" x14ac:dyDescent="0.25">
      <c r="A244" s="3" t="s">
        <v>578</v>
      </c>
      <c r="B244" s="3" t="s">
        <v>579</v>
      </c>
      <c r="C244" s="3" t="s">
        <v>45</v>
      </c>
      <c r="D244" s="3" t="s">
        <v>66</v>
      </c>
    </row>
    <row r="245" spans="1:4" x14ac:dyDescent="0.25">
      <c r="A245" s="3" t="s">
        <v>580</v>
      </c>
      <c r="B245" s="3" t="s">
        <v>581</v>
      </c>
      <c r="C245" s="3" t="s">
        <v>45</v>
      </c>
      <c r="D245" s="3" t="s">
        <v>66</v>
      </c>
    </row>
    <row r="246" spans="1:4" x14ac:dyDescent="0.25">
      <c r="A246" s="3" t="s">
        <v>582</v>
      </c>
      <c r="B246" s="3" t="s">
        <v>583</v>
      </c>
      <c r="C246" s="3" t="s">
        <v>160</v>
      </c>
      <c r="D246" s="3" t="s">
        <v>161</v>
      </c>
    </row>
    <row r="247" spans="1:4" x14ac:dyDescent="0.25">
      <c r="A247" s="3" t="s">
        <v>584</v>
      </c>
      <c r="B247" s="3" t="s">
        <v>585</v>
      </c>
      <c r="C247" s="3" t="s">
        <v>71</v>
      </c>
      <c r="D247" s="3" t="s">
        <v>85</v>
      </c>
    </row>
    <row r="248" spans="1:4" x14ac:dyDescent="0.25">
      <c r="A248" s="3" t="s">
        <v>586</v>
      </c>
      <c r="B248" s="3" t="s">
        <v>587</v>
      </c>
      <c r="C248" s="3" t="s">
        <v>45</v>
      </c>
      <c r="D248" s="3" t="s">
        <v>66</v>
      </c>
    </row>
    <row r="249" spans="1:4" x14ac:dyDescent="0.25">
      <c r="A249" s="3" t="s">
        <v>588</v>
      </c>
      <c r="B249" s="3" t="s">
        <v>589</v>
      </c>
      <c r="C249" s="3" t="s">
        <v>45</v>
      </c>
      <c r="D249" s="3" t="s">
        <v>386</v>
      </c>
    </row>
    <row r="250" spans="1:4" x14ac:dyDescent="0.25">
      <c r="A250" s="3" t="s">
        <v>590</v>
      </c>
      <c r="B250" s="3" t="s">
        <v>591</v>
      </c>
      <c r="C250" s="3" t="s">
        <v>442</v>
      </c>
      <c r="D250" s="3" t="s">
        <v>46</v>
      </c>
    </row>
    <row r="251" spans="1:4" x14ac:dyDescent="0.25">
      <c r="A251" s="3" t="s">
        <v>592</v>
      </c>
      <c r="B251" s="3" t="s">
        <v>593</v>
      </c>
      <c r="C251" s="3" t="s">
        <v>45</v>
      </c>
      <c r="D251" s="3" t="s">
        <v>66</v>
      </c>
    </row>
    <row r="252" spans="1:4" x14ac:dyDescent="0.25">
      <c r="A252" s="3" t="s">
        <v>594</v>
      </c>
      <c r="B252" s="3" t="s">
        <v>595</v>
      </c>
      <c r="C252" s="3" t="s">
        <v>45</v>
      </c>
      <c r="D252" s="3" t="s">
        <v>267</v>
      </c>
    </row>
    <row r="253" spans="1:4" x14ac:dyDescent="0.25">
      <c r="A253" s="3" t="s">
        <v>596</v>
      </c>
      <c r="B253" s="3" t="s">
        <v>597</v>
      </c>
      <c r="C253" s="3" t="s">
        <v>45</v>
      </c>
      <c r="D253" s="3" t="s">
        <v>66</v>
      </c>
    </row>
    <row r="254" spans="1:4" x14ac:dyDescent="0.25">
      <c r="A254" s="3" t="s">
        <v>598</v>
      </c>
      <c r="B254" s="3" t="s">
        <v>599</v>
      </c>
      <c r="C254" s="3" t="s">
        <v>45</v>
      </c>
      <c r="D254" s="3" t="s">
        <v>66</v>
      </c>
    </row>
    <row r="255" spans="1:4" x14ac:dyDescent="0.25">
      <c r="A255" s="3" t="s">
        <v>600</v>
      </c>
      <c r="B255" s="3" t="s">
        <v>601</v>
      </c>
      <c r="C255" s="3" t="s">
        <v>45</v>
      </c>
      <c r="D255" s="3" t="s">
        <v>66</v>
      </c>
    </row>
    <row r="256" spans="1:4" x14ac:dyDescent="0.25">
      <c r="A256" s="3" t="s">
        <v>602</v>
      </c>
      <c r="B256" s="3" t="s">
        <v>603</v>
      </c>
      <c r="C256" s="3" t="s">
        <v>45</v>
      </c>
      <c r="D256" s="3" t="s">
        <v>66</v>
      </c>
    </row>
    <row r="257" spans="1:4" x14ac:dyDescent="0.25">
      <c r="A257" s="3" t="s">
        <v>604</v>
      </c>
      <c r="B257" s="3" t="s">
        <v>605</v>
      </c>
      <c r="C257" s="3" t="s">
        <v>45</v>
      </c>
      <c r="D257" s="3" t="s">
        <v>66</v>
      </c>
    </row>
    <row r="258" spans="1:4" x14ac:dyDescent="0.25">
      <c r="A258" s="3" t="s">
        <v>606</v>
      </c>
      <c r="B258" s="3" t="s">
        <v>607</v>
      </c>
      <c r="C258" s="3" t="s">
        <v>45</v>
      </c>
      <c r="D258" s="3" t="s">
        <v>66</v>
      </c>
    </row>
    <row r="259" spans="1:4" x14ac:dyDescent="0.25">
      <c r="A259" s="3" t="s">
        <v>608</v>
      </c>
      <c r="B259" s="3" t="s">
        <v>609</v>
      </c>
      <c r="C259" s="3" t="s">
        <v>45</v>
      </c>
      <c r="D259" s="3" t="s">
        <v>66</v>
      </c>
    </row>
    <row r="260" spans="1:4" x14ac:dyDescent="0.25">
      <c r="A260" s="3" t="s">
        <v>610</v>
      </c>
      <c r="B260" s="3" t="s">
        <v>611</v>
      </c>
      <c r="C260" s="3" t="s">
        <v>45</v>
      </c>
      <c r="D260" s="3" t="s">
        <v>66</v>
      </c>
    </row>
    <row r="261" spans="1:4" x14ac:dyDescent="0.25">
      <c r="A261" s="3" t="s">
        <v>612</v>
      </c>
      <c r="B261" s="3" t="s">
        <v>613</v>
      </c>
      <c r="C261" s="3" t="s">
        <v>45</v>
      </c>
      <c r="D261" s="3" t="s">
        <v>66</v>
      </c>
    </row>
    <row r="262" spans="1:4" x14ac:dyDescent="0.25">
      <c r="A262" s="3" t="s">
        <v>614</v>
      </c>
      <c r="B262" s="3" t="s">
        <v>615</v>
      </c>
      <c r="C262" s="3" t="s">
        <v>45</v>
      </c>
      <c r="D262" s="3" t="s">
        <v>66</v>
      </c>
    </row>
    <row r="263" spans="1:4" x14ac:dyDescent="0.25">
      <c r="A263" s="3" t="s">
        <v>616</v>
      </c>
      <c r="B263" s="3" t="s">
        <v>617</v>
      </c>
      <c r="C263" s="3" t="s">
        <v>45</v>
      </c>
      <c r="D263" s="3" t="s">
        <v>66</v>
      </c>
    </row>
    <row r="264" spans="1:4" x14ac:dyDescent="0.25">
      <c r="A264" s="3" t="s">
        <v>618</v>
      </c>
      <c r="B264" s="3" t="s">
        <v>619</v>
      </c>
      <c r="C264" s="3" t="s">
        <v>45</v>
      </c>
      <c r="D264" s="3" t="s">
        <v>66</v>
      </c>
    </row>
    <row r="265" spans="1:4" x14ac:dyDescent="0.25">
      <c r="A265" s="3" t="s">
        <v>620</v>
      </c>
      <c r="B265" s="3" t="s">
        <v>621</v>
      </c>
      <c r="C265" s="3" t="s">
        <v>45</v>
      </c>
      <c r="D265" s="3" t="s">
        <v>66</v>
      </c>
    </row>
    <row r="266" spans="1:4" x14ac:dyDescent="0.25">
      <c r="A266" s="3" t="s">
        <v>622</v>
      </c>
      <c r="B266" s="3" t="s">
        <v>623</v>
      </c>
      <c r="C266" s="3" t="s">
        <v>56</v>
      </c>
      <c r="D266" s="3" t="s">
        <v>46</v>
      </c>
    </row>
    <row r="267" spans="1:4" x14ac:dyDescent="0.25">
      <c r="A267" s="3" t="s">
        <v>624</v>
      </c>
      <c r="B267" s="3" t="s">
        <v>625</v>
      </c>
      <c r="C267" s="3" t="s">
        <v>166</v>
      </c>
      <c r="D267" s="3" t="s">
        <v>626</v>
      </c>
    </row>
    <row r="268" spans="1:4" x14ac:dyDescent="0.25">
      <c r="A268" s="3" t="s">
        <v>627</v>
      </c>
      <c r="B268" s="3" t="s">
        <v>628</v>
      </c>
      <c r="C268" s="3" t="s">
        <v>45</v>
      </c>
      <c r="D268" s="3" t="s">
        <v>66</v>
      </c>
    </row>
    <row r="269" spans="1:4" x14ac:dyDescent="0.25">
      <c r="A269" s="3" t="s">
        <v>629</v>
      </c>
      <c r="B269" s="3" t="s">
        <v>630</v>
      </c>
      <c r="C269" s="3" t="s">
        <v>45</v>
      </c>
      <c r="D269" s="3" t="s">
        <v>66</v>
      </c>
    </row>
    <row r="270" spans="1:4" x14ac:dyDescent="0.25">
      <c r="A270" s="3" t="s">
        <v>824</v>
      </c>
      <c r="B270" s="3" t="s">
        <v>825</v>
      </c>
      <c r="C270" s="3" t="s">
        <v>60</v>
      </c>
      <c r="D270" s="3" t="s">
        <v>137</v>
      </c>
    </row>
    <row r="271" spans="1:4" x14ac:dyDescent="0.25">
      <c r="A271" s="3" t="s">
        <v>826</v>
      </c>
      <c r="B271" s="3" t="s">
        <v>827</v>
      </c>
      <c r="C271" s="3" t="s">
        <v>45</v>
      </c>
      <c r="D271" s="3" t="s">
        <v>66</v>
      </c>
    </row>
    <row r="272" spans="1:4" x14ac:dyDescent="0.25">
      <c r="A272" s="3" t="s">
        <v>828</v>
      </c>
      <c r="B272" s="3" t="s">
        <v>829</v>
      </c>
      <c r="C272" s="3" t="s">
        <v>45</v>
      </c>
      <c r="D272" s="3" t="s">
        <v>66</v>
      </c>
    </row>
    <row r="273" spans="1:4" x14ac:dyDescent="0.25">
      <c r="A273" s="3" t="s">
        <v>830</v>
      </c>
      <c r="B273" s="3" t="s">
        <v>831</v>
      </c>
      <c r="C273" s="3" t="s">
        <v>71</v>
      </c>
      <c r="D273" s="3" t="s">
        <v>85</v>
      </c>
    </row>
    <row r="274" spans="1:4" x14ac:dyDescent="0.25">
      <c r="A274" s="3" t="s">
        <v>832</v>
      </c>
      <c r="B274" s="3" t="s">
        <v>833</v>
      </c>
      <c r="C274" s="3" t="s">
        <v>71</v>
      </c>
      <c r="D274" s="3" t="s">
        <v>61</v>
      </c>
    </row>
    <row r="275" spans="1:4" x14ac:dyDescent="0.25">
      <c r="A275" s="3" t="s">
        <v>834</v>
      </c>
      <c r="B275" s="3" t="s">
        <v>835</v>
      </c>
      <c r="C275" s="3" t="s">
        <v>71</v>
      </c>
      <c r="D275" s="3" t="s">
        <v>85</v>
      </c>
    </row>
    <row r="276" spans="1:4" x14ac:dyDescent="0.25">
      <c r="A276" s="3" t="s">
        <v>836</v>
      </c>
      <c r="B276" s="3" t="s">
        <v>837</v>
      </c>
      <c r="C276" s="3" t="s">
        <v>838</v>
      </c>
      <c r="D276" s="3" t="s">
        <v>839</v>
      </c>
    </row>
    <row r="277" spans="1:4" x14ac:dyDescent="0.25">
      <c r="A277" s="3" t="s">
        <v>840</v>
      </c>
      <c r="B277" s="3" t="s">
        <v>841</v>
      </c>
      <c r="C277" s="3" t="s">
        <v>49</v>
      </c>
      <c r="D277" s="3" t="s">
        <v>267</v>
      </c>
    </row>
    <row r="278" spans="1:4" x14ac:dyDescent="0.25">
      <c r="A278" s="3" t="s">
        <v>842</v>
      </c>
      <c r="B278" s="3" t="s">
        <v>843</v>
      </c>
      <c r="C278" s="3" t="s">
        <v>71</v>
      </c>
      <c r="D278" s="3" t="s">
        <v>85</v>
      </c>
    </row>
    <row r="279" spans="1:4" x14ac:dyDescent="0.25">
      <c r="A279" s="3" t="s">
        <v>844</v>
      </c>
      <c r="B279" s="3" t="s">
        <v>845</v>
      </c>
      <c r="C279" s="3" t="s">
        <v>247</v>
      </c>
      <c r="D279" s="3" t="s">
        <v>144</v>
      </c>
    </row>
    <row r="280" spans="1:4" x14ac:dyDescent="0.25">
      <c r="A280" s="3" t="s">
        <v>846</v>
      </c>
      <c r="B280" s="3" t="s">
        <v>847</v>
      </c>
      <c r="C280" s="3" t="s">
        <v>45</v>
      </c>
      <c r="D280" s="3" t="s">
        <v>66</v>
      </c>
    </row>
    <row r="281" spans="1:4" x14ac:dyDescent="0.25">
      <c r="A281" s="3" t="s">
        <v>848</v>
      </c>
      <c r="B281" s="3" t="s">
        <v>849</v>
      </c>
      <c r="C281" s="3" t="s">
        <v>45</v>
      </c>
      <c r="D281" s="3" t="s">
        <v>66</v>
      </c>
    </row>
    <row r="282" spans="1:4" x14ac:dyDescent="0.25">
      <c r="A282" s="3" t="s">
        <v>850</v>
      </c>
      <c r="B282" s="3" t="s">
        <v>851</v>
      </c>
      <c r="C282" s="3" t="s">
        <v>45</v>
      </c>
      <c r="D282" s="3" t="s">
        <v>66</v>
      </c>
    </row>
    <row r="283" spans="1:4" x14ac:dyDescent="0.25">
      <c r="A283" s="3" t="s">
        <v>852</v>
      </c>
      <c r="B283" s="3" t="s">
        <v>853</v>
      </c>
      <c r="C283" s="3" t="s">
        <v>45</v>
      </c>
      <c r="D283" s="3" t="s">
        <v>66</v>
      </c>
    </row>
    <row r="284" spans="1:4" x14ac:dyDescent="0.25">
      <c r="A284" s="3" t="s">
        <v>854</v>
      </c>
      <c r="B284" s="3" t="s">
        <v>855</v>
      </c>
      <c r="C284" s="3" t="s">
        <v>45</v>
      </c>
      <c r="D284" s="3" t="s">
        <v>66</v>
      </c>
    </row>
    <row r="285" spans="1:4" x14ac:dyDescent="0.25">
      <c r="A285" s="3" t="s">
        <v>856</v>
      </c>
      <c r="B285" s="3" t="s">
        <v>857</v>
      </c>
      <c r="C285" s="3" t="s">
        <v>45</v>
      </c>
      <c r="D285" s="3" t="s">
        <v>66</v>
      </c>
    </row>
    <row r="286" spans="1:4" x14ac:dyDescent="0.25">
      <c r="A286" s="3" t="s">
        <v>858</v>
      </c>
      <c r="B286" s="3" t="s">
        <v>859</v>
      </c>
      <c r="C286" s="3" t="s">
        <v>45</v>
      </c>
      <c r="D286" s="3" t="s">
        <v>66</v>
      </c>
    </row>
    <row r="287" spans="1:4" x14ac:dyDescent="0.25">
      <c r="A287" s="3" t="s">
        <v>860</v>
      </c>
      <c r="B287" s="3" t="s">
        <v>861</v>
      </c>
      <c r="C287" s="3" t="s">
        <v>45</v>
      </c>
      <c r="D287" s="3" t="s">
        <v>66</v>
      </c>
    </row>
    <row r="288" spans="1:4" x14ac:dyDescent="0.25">
      <c r="A288" s="3" t="s">
        <v>862</v>
      </c>
      <c r="B288" s="3" t="s">
        <v>863</v>
      </c>
      <c r="C288" s="3" t="s">
        <v>52</v>
      </c>
      <c r="D288" s="3" t="s">
        <v>46</v>
      </c>
    </row>
    <row r="289" spans="1:4" x14ac:dyDescent="0.25">
      <c r="A289" s="3" t="s">
        <v>864</v>
      </c>
      <c r="B289" s="3" t="s">
        <v>865</v>
      </c>
      <c r="C289" s="3" t="s">
        <v>266</v>
      </c>
      <c r="D289" s="3" t="s">
        <v>626</v>
      </c>
    </row>
    <row r="290" spans="1:4" x14ac:dyDescent="0.25">
      <c r="A290" s="3" t="s">
        <v>889</v>
      </c>
      <c r="B290" s="3" t="s">
        <v>890</v>
      </c>
      <c r="C290" s="3" t="s">
        <v>45</v>
      </c>
      <c r="D290" s="3" t="s">
        <v>626</v>
      </c>
    </row>
    <row r="291" spans="1:4" x14ac:dyDescent="0.25">
      <c r="A291" s="3" t="s">
        <v>891</v>
      </c>
      <c r="B291" s="3" t="s">
        <v>892</v>
      </c>
      <c r="C291" s="3" t="s">
        <v>480</v>
      </c>
      <c r="D291" s="3" t="s">
        <v>480</v>
      </c>
    </row>
    <row r="292" spans="1:4" x14ac:dyDescent="0.25">
      <c r="A292" s="3" t="s">
        <v>893</v>
      </c>
      <c r="B292" s="3" t="s">
        <v>894</v>
      </c>
      <c r="C292" s="3" t="s">
        <v>252</v>
      </c>
      <c r="D292" s="3" t="s">
        <v>267</v>
      </c>
    </row>
    <row r="293" spans="1:4" x14ac:dyDescent="0.25">
      <c r="A293" s="3" t="s">
        <v>924</v>
      </c>
      <c r="B293" s="3" t="s">
        <v>925</v>
      </c>
      <c r="C293" s="3" t="s">
        <v>247</v>
      </c>
      <c r="D293" s="3" t="s">
        <v>42</v>
      </c>
    </row>
    <row r="294" spans="1:4" x14ac:dyDescent="0.25">
      <c r="A294" s="3" t="s">
        <v>926</v>
      </c>
      <c r="B294" s="3" t="s">
        <v>927</v>
      </c>
      <c r="C294" s="3" t="s">
        <v>247</v>
      </c>
      <c r="D294" s="3" t="s">
        <v>61</v>
      </c>
    </row>
    <row r="295" spans="1:4" x14ac:dyDescent="0.25">
      <c r="A295" s="3" t="s">
        <v>928</v>
      </c>
      <c r="B295" s="3" t="s">
        <v>929</v>
      </c>
      <c r="C295" s="3" t="s">
        <v>45</v>
      </c>
      <c r="D295" s="3" t="s">
        <v>66</v>
      </c>
    </row>
    <row r="296" spans="1:4" x14ac:dyDescent="0.25">
      <c r="A296" s="3" t="s">
        <v>930</v>
      </c>
      <c r="B296" s="3" t="s">
        <v>931</v>
      </c>
      <c r="C296" s="3" t="s">
        <v>45</v>
      </c>
      <c r="D296" s="3" t="s">
        <v>66</v>
      </c>
    </row>
    <row r="297" spans="1:4" x14ac:dyDescent="0.25">
      <c r="A297" s="3" t="s">
        <v>932</v>
      </c>
      <c r="B297" s="3" t="s">
        <v>933</v>
      </c>
      <c r="C297" s="3" t="s">
        <v>49</v>
      </c>
      <c r="D297" s="3" t="s">
        <v>42</v>
      </c>
    </row>
    <row r="298" spans="1:4" x14ac:dyDescent="0.25">
      <c r="A298" s="3" t="s">
        <v>934</v>
      </c>
      <c r="B298" s="3" t="s">
        <v>935</v>
      </c>
      <c r="C298" s="3" t="s">
        <v>100</v>
      </c>
      <c r="D298" s="3" t="s">
        <v>46</v>
      </c>
    </row>
    <row r="299" spans="1:4" x14ac:dyDescent="0.25">
      <c r="A299" s="3" t="s">
        <v>936</v>
      </c>
      <c r="B299" s="3" t="s">
        <v>937</v>
      </c>
      <c r="C299" s="3" t="s">
        <v>49</v>
      </c>
      <c r="D299" s="3" t="s">
        <v>46</v>
      </c>
    </row>
    <row r="300" spans="1:4" x14ac:dyDescent="0.25">
      <c r="A300" s="3" t="s">
        <v>938</v>
      </c>
      <c r="B300" s="3" t="s">
        <v>939</v>
      </c>
      <c r="C300" s="3" t="s">
        <v>191</v>
      </c>
      <c r="D300" s="3" t="s">
        <v>109</v>
      </c>
    </row>
    <row r="301" spans="1:4" x14ac:dyDescent="0.25">
      <c r="A301" s="3" t="s">
        <v>631</v>
      </c>
      <c r="B301" s="3" t="s">
        <v>632</v>
      </c>
      <c r="C301" s="3" t="s">
        <v>52</v>
      </c>
      <c r="D301" s="3" t="s">
        <v>75</v>
      </c>
    </row>
    <row r="302" spans="1:4" x14ac:dyDescent="0.25">
      <c r="A302" s="3" t="s">
        <v>895</v>
      </c>
      <c r="B302" s="3" t="s">
        <v>896</v>
      </c>
      <c r="C302" s="3" t="s">
        <v>897</v>
      </c>
      <c r="D302" s="3" t="s">
        <v>940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883B-4415-4482-9AE3-B37E653C82DB}">
  <dimension ref="A1:X57"/>
  <sheetViews>
    <sheetView zoomScaleNormal="100" workbookViewId="0">
      <pane xSplit="4" ySplit="1" topLeftCell="E2" activePane="bottomRight" state="frozen"/>
      <selection pane="topRight" activeCell="D1" sqref="D1"/>
      <selection pane="bottomLeft" activeCell="A2" sqref="A2"/>
      <selection pane="bottomRight"/>
    </sheetView>
  </sheetViews>
  <sheetFormatPr defaultRowHeight="20.100000000000001" customHeight="1" x14ac:dyDescent="0.25"/>
  <cols>
    <col min="1" max="1" width="12" style="1" bestFit="1" customWidth="1"/>
    <col min="2" max="2" width="21.125" style="1" bestFit="1" customWidth="1"/>
    <col min="3" max="3" width="21.125" style="1" customWidth="1"/>
    <col min="4" max="4" width="45.625" style="1" customWidth="1"/>
    <col min="5" max="5" width="21.5" style="1" bestFit="1" customWidth="1"/>
    <col min="6" max="6" width="41.25" style="1" bestFit="1" customWidth="1"/>
    <col min="7" max="7" width="28.625" style="1" bestFit="1" customWidth="1"/>
    <col min="8" max="8" width="25.75" style="1" bestFit="1" customWidth="1"/>
    <col min="9" max="9" width="25.75" style="1" customWidth="1"/>
    <col min="10" max="10" width="28.25" style="1" bestFit="1" customWidth="1"/>
    <col min="11" max="11" width="20" style="1" bestFit="1" customWidth="1"/>
    <col min="12" max="12" width="17.625" style="1" bestFit="1" customWidth="1"/>
    <col min="13" max="13" width="20.125" style="1" bestFit="1" customWidth="1"/>
    <col min="14" max="14" width="25.875" style="1" bestFit="1" customWidth="1"/>
    <col min="15" max="16" width="25.625" style="1" customWidth="1"/>
    <col min="17" max="17" width="35.625" style="1" customWidth="1"/>
    <col min="18" max="18" width="14.875" style="1" bestFit="1" customWidth="1"/>
    <col min="19" max="19" width="30.625" style="1" customWidth="1"/>
    <col min="20" max="20" width="25.625" style="1" customWidth="1"/>
    <col min="21" max="21" width="28.625" style="1" bestFit="1" customWidth="1"/>
    <col min="22" max="22" width="78.625" style="1" bestFit="1" customWidth="1"/>
    <col min="23" max="23" width="9" style="3"/>
    <col min="24" max="24" width="12.625" style="1" bestFit="1" customWidth="1"/>
    <col min="25" max="16384" width="9" style="1"/>
  </cols>
  <sheetData>
    <row r="1" spans="1:23" ht="20.100000000000001" customHeight="1" x14ac:dyDescent="0.25">
      <c r="A1" s="2" t="s">
        <v>34</v>
      </c>
      <c r="B1" s="2" t="s">
        <v>0</v>
      </c>
      <c r="C1" s="2" t="s">
        <v>35</v>
      </c>
      <c r="D1" s="2" t="s">
        <v>1</v>
      </c>
      <c r="E1" s="2" t="s">
        <v>2</v>
      </c>
      <c r="F1" s="2" t="s">
        <v>633</v>
      </c>
      <c r="G1" s="2" t="s">
        <v>3</v>
      </c>
      <c r="H1" s="2" t="s">
        <v>4</v>
      </c>
      <c r="I1" s="2" t="s">
        <v>902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727</v>
      </c>
      <c r="U1" s="2" t="s">
        <v>16</v>
      </c>
      <c r="V1" s="2" t="s">
        <v>15</v>
      </c>
      <c r="W1" s="1"/>
    </row>
    <row r="2" spans="1:23" ht="20.100000000000001" customHeight="1" x14ac:dyDescent="0.25">
      <c r="A2" s="1">
        <f>ROW()-ROW(Vi_SIM_Mobile[[#Headers],[Sr. No.]])</f>
        <v>1</v>
      </c>
      <c r="B2" s="1">
        <v>9371091004</v>
      </c>
      <c r="C2" s="8">
        <v>0</v>
      </c>
      <c r="D2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2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I2" s="1" t="s">
        <v>903</v>
      </c>
      <c r="J2" s="1" t="s">
        <v>753</v>
      </c>
      <c r="K2" s="5" t="s">
        <v>637</v>
      </c>
      <c r="L2" s="1" t="str">
        <f ca="1">IFERROR(IF(Vi_SIM_Mobile[[#This Row],[Warranty Date]]&lt;TODAY(), "Out of Warranty", IF(Vi_SIM_Mobile[[#This Row],[Warranty Date]]-TODAY()&lt;=30, "Expiring Soon", "In Warranty")),"-")</f>
        <v>-</v>
      </c>
      <c r="M2" s="5" t="str">
        <f>IFERROR(IF(Vi_SIM_Mobile[[#This Row],[Purchase Date]]="","NA",EDATE(Vi_SIM_Mobile[[#This Row],[Purchase Date]],12)),"NA")</f>
        <v>NA</v>
      </c>
      <c r="O2" s="6"/>
      <c r="P2" s="6"/>
      <c r="Q2" s="6"/>
      <c r="S2" s="6" t="s">
        <v>682</v>
      </c>
      <c r="T2" s="6"/>
      <c r="U2" s="1" t="s">
        <v>635</v>
      </c>
      <c r="V2" s="18"/>
      <c r="W2" s="1"/>
    </row>
    <row r="3" spans="1:23" ht="20.100000000000001" customHeight="1" x14ac:dyDescent="0.25">
      <c r="A3" s="1">
        <f>ROW()-ROW(Vi_SIM_Mobile[[#Headers],[Sr. No.]])</f>
        <v>2</v>
      </c>
      <c r="B3" s="1">
        <v>9371091006</v>
      </c>
      <c r="C3" s="8"/>
      <c r="D3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3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J3" s="1" t="s">
        <v>634</v>
      </c>
      <c r="K3" s="5" t="s">
        <v>637</v>
      </c>
      <c r="L3" s="1" t="str">
        <f ca="1">IFERROR(IF(Vi_SIM_Mobile[[#This Row],[Warranty Date]]&lt;TODAY(), "Out of Warranty", IF(Vi_SIM_Mobile[[#This Row],[Warranty Date]]-TODAY()&lt;=30, "Expiring Soon", "In Warranty")),"-")</f>
        <v>-</v>
      </c>
      <c r="M3" s="5" t="str">
        <f>IFERROR(IF(Vi_SIM_Mobile[[#This Row],[Purchase Date]]="","NA",EDATE(Vi_SIM_Mobile[[#This Row],[Purchase Date]],12)),"NA")</f>
        <v>NA</v>
      </c>
      <c r="O3" s="6"/>
      <c r="P3" s="6"/>
      <c r="Q3" s="6"/>
      <c r="S3" s="6"/>
      <c r="T3" s="6"/>
      <c r="U3" s="1" t="s">
        <v>636</v>
      </c>
      <c r="V3" s="18"/>
    </row>
    <row r="4" spans="1:23" ht="20.100000000000001" customHeight="1" x14ac:dyDescent="0.25">
      <c r="A4" s="1">
        <f>ROW()-ROW(Vi_SIM_Mobile[[#Headers],[Sr. No.]])</f>
        <v>3</v>
      </c>
      <c r="B4" s="1">
        <v>9371091014</v>
      </c>
      <c r="C4" s="8">
        <v>473</v>
      </c>
      <c r="D4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Bhagyawan Chandrakant Gaikwad</v>
      </c>
      <c r="E4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Production</v>
      </c>
      <c r="F4" s="1" t="s">
        <v>728</v>
      </c>
      <c r="G4" s="1" t="s">
        <v>634</v>
      </c>
      <c r="H4" s="1" t="s">
        <v>634</v>
      </c>
      <c r="I4" s="1" t="s">
        <v>904</v>
      </c>
      <c r="J4" s="1" t="s">
        <v>754</v>
      </c>
      <c r="K4" s="5">
        <v>45900</v>
      </c>
      <c r="L4" s="1" t="str">
        <f ca="1">IFERROR(IF(Vi_SIM_Mobile[[#This Row],[Warranty Date]]&lt;TODAY(), "Out of Warranty", IF(Vi_SIM_Mobile[[#This Row],[Warranty Date]]-TODAY()&lt;=30, "Expiring Soon", "In Warranty")),"-")</f>
        <v>Out of Warranty</v>
      </c>
      <c r="M4" s="5">
        <f>IFERROR(IF(Vi_SIM_Mobile[[#This Row],[Purchase Date]]="","NA",EDATE(Vi_SIM_Mobile[[#This Row],[Purchase Date]],12)),"NA")</f>
        <v>46265</v>
      </c>
      <c r="N4" s="1" t="s">
        <v>638</v>
      </c>
      <c r="O4" s="6" t="s">
        <v>640</v>
      </c>
      <c r="P4" s="6" t="s">
        <v>641</v>
      </c>
      <c r="Q4" s="6" t="s">
        <v>642</v>
      </c>
      <c r="R4" s="1" t="s">
        <v>18</v>
      </c>
      <c r="S4" s="6" t="s">
        <v>683</v>
      </c>
      <c r="T4" s="6"/>
      <c r="U4" s="1" t="s">
        <v>635</v>
      </c>
      <c r="V4" s="18"/>
    </row>
    <row r="5" spans="1:23" ht="20.100000000000001" customHeight="1" x14ac:dyDescent="0.25">
      <c r="A5" s="1">
        <f>ROW()-ROW(Vi_SIM_Mobile[[#Headers],[Sr. No.]])</f>
        <v>4</v>
      </c>
      <c r="B5" s="1">
        <v>9371091016</v>
      </c>
      <c r="C5" s="8">
        <v>724</v>
      </c>
      <c r="D5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Jitendra Balkrushna Navarkar</v>
      </c>
      <c r="E5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PD Lab</v>
      </c>
      <c r="F5" s="1" t="s">
        <v>728</v>
      </c>
      <c r="G5" s="1" t="s">
        <v>595</v>
      </c>
      <c r="H5" s="1" t="s">
        <v>45</v>
      </c>
      <c r="I5" s="1" t="s">
        <v>904</v>
      </c>
      <c r="J5" s="1" t="s">
        <v>754</v>
      </c>
      <c r="K5" s="5">
        <v>45900</v>
      </c>
      <c r="L5" s="1" t="str">
        <f ca="1">IFERROR(IF(Vi_SIM_Mobile[[#This Row],[Warranty Date]]&lt;TODAY(), "Out of Warranty", IF(Vi_SIM_Mobile[[#This Row],[Warranty Date]]-TODAY()&lt;=30, "Expiring Soon", "In Warranty")),"-")</f>
        <v>Out of Warranty</v>
      </c>
      <c r="M5" s="5">
        <f>IFERROR(IF(Vi_SIM_Mobile[[#This Row],[Purchase Date]]="","NA",EDATE(Vi_SIM_Mobile[[#This Row],[Purchase Date]],12)),"NA")</f>
        <v>46265</v>
      </c>
      <c r="N5" s="1" t="s">
        <v>638</v>
      </c>
      <c r="O5" s="6" t="s">
        <v>643</v>
      </c>
      <c r="P5" s="6" t="s">
        <v>644</v>
      </c>
      <c r="Q5" s="6" t="s">
        <v>642</v>
      </c>
      <c r="R5" s="1" t="s">
        <v>18</v>
      </c>
      <c r="S5" s="6" t="s">
        <v>684</v>
      </c>
      <c r="T5" s="6"/>
      <c r="U5" s="1" t="s">
        <v>635</v>
      </c>
      <c r="V5" s="18"/>
    </row>
    <row r="6" spans="1:23" ht="20.100000000000001" customHeight="1" x14ac:dyDescent="0.25">
      <c r="A6" s="1">
        <f>ROW()-ROW(Vi_SIM_Mobile[[#Headers],[Sr. No.]])</f>
        <v>5</v>
      </c>
      <c r="B6" s="1">
        <v>9371091017</v>
      </c>
      <c r="C6" s="8">
        <v>399</v>
      </c>
      <c r="D6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Sangram Shrikant Dhavane</v>
      </c>
      <c r="E6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Store</v>
      </c>
      <c r="F6" s="1" t="s">
        <v>729</v>
      </c>
      <c r="G6" s="1" t="s">
        <v>634</v>
      </c>
      <c r="H6" s="1" t="s">
        <v>634</v>
      </c>
      <c r="I6" s="1" t="s">
        <v>903</v>
      </c>
      <c r="J6" s="1" t="s">
        <v>755</v>
      </c>
      <c r="K6" s="5">
        <v>45826</v>
      </c>
      <c r="L6" s="1" t="str">
        <f ca="1">IFERROR(IF(Vi_SIM_Mobile[[#This Row],[Warranty Date]]&lt;TODAY(), "Out of Warranty", IF(Vi_SIM_Mobile[[#This Row],[Warranty Date]]-TODAY()&lt;=30, "Expiring Soon", "In Warranty")),"-")</f>
        <v>Out of Warranty</v>
      </c>
      <c r="M6" s="5">
        <f>IFERROR(IF(Vi_SIM_Mobile[[#This Row],[Purchase Date]]="","NA",EDATE(Vi_SIM_Mobile[[#This Row],[Purchase Date]],12)),"NA")</f>
        <v>46191</v>
      </c>
      <c r="N6" s="1" t="s">
        <v>638</v>
      </c>
      <c r="O6" s="6" t="s">
        <v>645</v>
      </c>
      <c r="P6" s="6" t="s">
        <v>646</v>
      </c>
      <c r="Q6" s="6" t="s">
        <v>647</v>
      </c>
      <c r="R6" s="1" t="s">
        <v>18</v>
      </c>
      <c r="S6" s="6" t="s">
        <v>685</v>
      </c>
      <c r="T6" s="6"/>
      <c r="U6" s="1" t="s">
        <v>635</v>
      </c>
      <c r="V6" s="18"/>
    </row>
    <row r="7" spans="1:23" ht="20.100000000000001" customHeight="1" x14ac:dyDescent="0.25">
      <c r="A7" s="1">
        <f>ROW()-ROW(Vi_SIM_Mobile[[#Headers],[Sr. No.]])</f>
        <v>6</v>
      </c>
      <c r="B7" s="1">
        <v>9371091018</v>
      </c>
      <c r="C7" s="8">
        <v>0</v>
      </c>
      <c r="D7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7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7" s="1" t="s">
        <v>634</v>
      </c>
      <c r="G7" s="1" t="s">
        <v>172</v>
      </c>
      <c r="H7" s="1" t="s">
        <v>71</v>
      </c>
      <c r="I7" s="1" t="s">
        <v>903</v>
      </c>
      <c r="J7" s="1" t="s">
        <v>755</v>
      </c>
      <c r="K7" s="5">
        <v>45787</v>
      </c>
      <c r="L7" s="1" t="str">
        <f ca="1">IFERROR(IF(Vi_SIM_Mobile[[#This Row],[Warranty Date]]&lt;TODAY(), "Out of Warranty", IF(Vi_SIM_Mobile[[#This Row],[Warranty Date]]-TODAY()&lt;=30, "Expiring Soon", "In Warranty")),"-")</f>
        <v>Out of Warranty</v>
      </c>
      <c r="M7" s="5">
        <f>IFERROR(IF(Vi_SIM_Mobile[[#This Row],[Purchase Date]]="","NA",EDATE(Vi_SIM_Mobile[[#This Row],[Purchase Date]],12)),"NA")</f>
        <v>46152</v>
      </c>
      <c r="N7" s="1" t="s">
        <v>638</v>
      </c>
      <c r="O7" s="6" t="s">
        <v>648</v>
      </c>
      <c r="P7" s="6" t="s">
        <v>649</v>
      </c>
      <c r="Q7" s="6" t="s">
        <v>650</v>
      </c>
      <c r="R7" s="1" t="s">
        <v>18</v>
      </c>
      <c r="S7" s="6" t="s">
        <v>686</v>
      </c>
      <c r="T7" s="6"/>
      <c r="U7" s="1" t="s">
        <v>635</v>
      </c>
      <c r="V7" s="18"/>
    </row>
    <row r="8" spans="1:23" ht="20.100000000000001" customHeight="1" x14ac:dyDescent="0.25">
      <c r="A8" s="1">
        <f>ROW()-ROW(Vi_SIM_Mobile[[#Headers],[Sr. No.]])</f>
        <v>7</v>
      </c>
      <c r="B8" s="1">
        <v>9371091019</v>
      </c>
      <c r="C8" s="8">
        <v>603</v>
      </c>
      <c r="D8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Dattatray Deepak Chavan</v>
      </c>
      <c r="E8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Maintenance</v>
      </c>
      <c r="F8" s="1" t="s">
        <v>728</v>
      </c>
      <c r="G8" s="1" t="s">
        <v>634</v>
      </c>
      <c r="H8" s="1" t="s">
        <v>634</v>
      </c>
      <c r="I8" s="1" t="s">
        <v>904</v>
      </c>
      <c r="J8" s="1" t="s">
        <v>756</v>
      </c>
      <c r="K8" s="5">
        <v>45815</v>
      </c>
      <c r="L8" s="1" t="str">
        <f ca="1">IFERROR(IF(Vi_SIM_Mobile[[#This Row],[Warranty Date]]&lt;TODAY(), "Out of Warranty", IF(Vi_SIM_Mobile[[#This Row],[Warranty Date]]-TODAY()&lt;=30, "Expiring Soon", "In Warranty")),"-")</f>
        <v>Out of Warranty</v>
      </c>
      <c r="M8" s="5">
        <f>IFERROR(IF(Vi_SIM_Mobile[[#This Row],[Purchase Date]]="","NA",EDATE(Vi_SIM_Mobile[[#This Row],[Purchase Date]],12)),"NA")</f>
        <v>46180</v>
      </c>
      <c r="O8" s="6" t="s">
        <v>651</v>
      </c>
      <c r="P8" s="6" t="s">
        <v>652</v>
      </c>
      <c r="Q8" s="6"/>
      <c r="R8" s="1" t="s">
        <v>18</v>
      </c>
      <c r="S8" s="6" t="s">
        <v>687</v>
      </c>
      <c r="T8" s="6"/>
      <c r="U8" s="1" t="s">
        <v>635</v>
      </c>
      <c r="V8" s="18"/>
    </row>
    <row r="9" spans="1:23" ht="20.100000000000001" customHeight="1" x14ac:dyDescent="0.25">
      <c r="A9" s="1">
        <f>ROW()-ROW(Vi_SIM_Mobile[[#Headers],[Sr. No.]])</f>
        <v>8</v>
      </c>
      <c r="B9" s="1">
        <v>9371091035</v>
      </c>
      <c r="C9" s="8">
        <v>679</v>
      </c>
      <c r="D9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Nagesh Sharanappa Gangade</v>
      </c>
      <c r="E9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Instrument</v>
      </c>
      <c r="F9" s="1" t="s">
        <v>728</v>
      </c>
      <c r="G9" s="1" t="s">
        <v>634</v>
      </c>
      <c r="H9" s="1" t="s">
        <v>634</v>
      </c>
      <c r="I9" s="1" t="s">
        <v>903</v>
      </c>
      <c r="J9" s="1" t="s">
        <v>755</v>
      </c>
      <c r="K9" s="5">
        <v>45965</v>
      </c>
      <c r="L9" s="1" t="str">
        <f ca="1">IFERROR(IF(Vi_SIM_Mobile[[#This Row],[Warranty Date]]&lt;TODAY(), "Out of Warranty", IF(Vi_SIM_Mobile[[#This Row],[Warranty Date]]-TODAY()&lt;=30, "Expiring Soon", "In Warranty")),"-")</f>
        <v>In Warranty</v>
      </c>
      <c r="M9" s="5">
        <f>IFERROR(IF(Vi_SIM_Mobile[[#This Row],[Purchase Date]]="","NA",EDATE(Vi_SIM_Mobile[[#This Row],[Purchase Date]],12)),"NA")</f>
        <v>46330</v>
      </c>
      <c r="N9" s="1" t="s">
        <v>638</v>
      </c>
      <c r="O9" s="6" t="s">
        <v>769</v>
      </c>
      <c r="P9" s="6" t="s">
        <v>770</v>
      </c>
      <c r="Q9" s="6" t="s">
        <v>887</v>
      </c>
      <c r="R9" s="1" t="s">
        <v>18</v>
      </c>
      <c r="S9" s="6" t="s">
        <v>688</v>
      </c>
      <c r="T9" s="6"/>
      <c r="U9" s="1" t="s">
        <v>635</v>
      </c>
      <c r="V9" s="18" t="s">
        <v>771</v>
      </c>
    </row>
    <row r="10" spans="1:23" ht="20.100000000000001" customHeight="1" x14ac:dyDescent="0.25">
      <c r="A10" s="1">
        <f>ROW()-ROW(Vi_SIM_Mobile[[#Headers],[Sr. No.]])</f>
        <v>9</v>
      </c>
      <c r="B10" s="1">
        <v>9371091053</v>
      </c>
      <c r="C10" s="8">
        <v>721</v>
      </c>
      <c r="D10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Sunil Sanjay Chanmal</v>
      </c>
      <c r="E10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Maintenance</v>
      </c>
      <c r="F10" s="1" t="s">
        <v>728</v>
      </c>
      <c r="G10" s="1" t="s">
        <v>634</v>
      </c>
      <c r="H10" s="1" t="s">
        <v>634</v>
      </c>
      <c r="K10" s="5">
        <v>46049</v>
      </c>
      <c r="L10" s="1" t="str">
        <f ca="1">IFERROR(IF(Vi_SIM_Mobile[[#This Row],[Warranty Date]]&lt;TODAY(), "Out of Warranty", IF(Vi_SIM_Mobile[[#This Row],[Warranty Date]]-TODAY()&lt;=30, "Expiring Soon", "In Warranty")),"-")</f>
        <v>In Warranty</v>
      </c>
      <c r="M10" s="5">
        <f>IFERROR(IF(Vi_SIM_Mobile[[#This Row],[Purchase Date]]="","NA",EDATE(Vi_SIM_Mobile[[#This Row],[Purchase Date]],12)),"NA")</f>
        <v>46414</v>
      </c>
      <c r="N10" s="1" t="s">
        <v>868</v>
      </c>
      <c r="O10" s="6" t="s">
        <v>866</v>
      </c>
      <c r="P10" s="6" t="s">
        <v>867</v>
      </c>
      <c r="Q10" s="6" t="s">
        <v>869</v>
      </c>
      <c r="R10" s="1" t="s">
        <v>18</v>
      </c>
      <c r="S10" s="6" t="s">
        <v>689</v>
      </c>
      <c r="T10" s="6"/>
      <c r="U10" s="1" t="s">
        <v>635</v>
      </c>
      <c r="V10" s="18" t="s">
        <v>870</v>
      </c>
    </row>
    <row r="11" spans="1:23" ht="20.100000000000001" customHeight="1" x14ac:dyDescent="0.25">
      <c r="A11" s="1">
        <f>ROW()-ROW(Vi_SIM_Mobile[[#Headers],[Sr. No.]])</f>
        <v>10</v>
      </c>
      <c r="B11" s="1">
        <v>9371091062</v>
      </c>
      <c r="C11" s="8">
        <v>407</v>
      </c>
      <c r="D11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Vijaykumar Bhimashankar Gurao</v>
      </c>
      <c r="E11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Maintenance</v>
      </c>
      <c r="F11" s="1" t="s">
        <v>728</v>
      </c>
      <c r="G11" s="1" t="s">
        <v>634</v>
      </c>
      <c r="H11" s="1" t="s">
        <v>634</v>
      </c>
      <c r="I11" s="1" t="s">
        <v>903</v>
      </c>
      <c r="J11" s="1" t="s">
        <v>755</v>
      </c>
      <c r="K11" s="5">
        <v>45961</v>
      </c>
      <c r="L11" s="1" t="str">
        <f ca="1">IFERROR(IF(Vi_SIM_Mobile[[#This Row],[Warranty Date]]&lt;TODAY(), "Out of Warranty", IF(Vi_SIM_Mobile[[#This Row],[Warranty Date]]-TODAY()&lt;=30, "Expiring Soon", "In Warranty")),"-")</f>
        <v>In Warranty</v>
      </c>
      <c r="M11" s="5">
        <f>IFERROR(IF(Vi_SIM_Mobile[[#This Row],[Purchase Date]]="","NA",EDATE(Vi_SIM_Mobile[[#This Row],[Purchase Date]],12)),"NA")</f>
        <v>46326</v>
      </c>
      <c r="N11" s="1" t="s">
        <v>638</v>
      </c>
      <c r="O11" s="6" t="s">
        <v>766</v>
      </c>
      <c r="P11" s="6" t="s">
        <v>767</v>
      </c>
      <c r="Q11" s="6" t="s">
        <v>768</v>
      </c>
      <c r="R11" s="1" t="s">
        <v>18</v>
      </c>
      <c r="S11" s="6" t="s">
        <v>690</v>
      </c>
      <c r="T11" s="6"/>
      <c r="U11" s="1" t="s">
        <v>635</v>
      </c>
      <c r="V11" s="18"/>
    </row>
    <row r="12" spans="1:23" ht="20.100000000000001" customHeight="1" x14ac:dyDescent="0.25">
      <c r="A12" s="1">
        <f>ROW()-ROW(Vi_SIM_Mobile[[#Headers],[Sr. No.]])</f>
        <v>11</v>
      </c>
      <c r="B12" s="1">
        <v>9371091068</v>
      </c>
      <c r="C12" s="8">
        <v>714</v>
      </c>
      <c r="D12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Sushant Popat Masane</v>
      </c>
      <c r="E12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Store</v>
      </c>
      <c r="F12" s="1" t="s">
        <v>728</v>
      </c>
      <c r="G12" s="1" t="s">
        <v>634</v>
      </c>
      <c r="H12" s="1" t="s">
        <v>634</v>
      </c>
      <c r="I12" s="1" t="s">
        <v>904</v>
      </c>
      <c r="J12" s="1" t="s">
        <v>757</v>
      </c>
      <c r="K12" s="5">
        <v>45926</v>
      </c>
      <c r="L12" s="1" t="str">
        <f ca="1">IFERROR(IF(Vi_SIM_Mobile[[#This Row],[Warranty Date]]&lt;TODAY(), "Out of Warranty", IF(Vi_SIM_Mobile[[#This Row],[Warranty Date]]-TODAY()&lt;=30, "Expiring Soon", "In Warranty")),"-")</f>
        <v>Expiring Soon</v>
      </c>
      <c r="M12" s="5">
        <f>IFERROR(IF(Vi_SIM_Mobile[[#This Row],[Purchase Date]]="","NA",EDATE(Vi_SIM_Mobile[[#This Row],[Purchase Date]],12)),"NA")</f>
        <v>46291</v>
      </c>
      <c r="N12" s="1" t="s">
        <v>638</v>
      </c>
      <c r="O12" s="6" t="s">
        <v>653</v>
      </c>
      <c r="P12" s="6" t="s">
        <v>654</v>
      </c>
      <c r="Q12" s="6" t="s">
        <v>655</v>
      </c>
      <c r="R12" s="1" t="s">
        <v>18</v>
      </c>
      <c r="S12" s="6" t="s">
        <v>691</v>
      </c>
      <c r="T12" s="6"/>
      <c r="U12" s="1" t="s">
        <v>635</v>
      </c>
      <c r="V12" s="18"/>
    </row>
    <row r="13" spans="1:23" ht="20.100000000000001" customHeight="1" x14ac:dyDescent="0.25">
      <c r="A13" s="1">
        <f>ROW()-ROW(Vi_SIM_Mobile[[#Headers],[Sr. No.]])</f>
        <v>12</v>
      </c>
      <c r="B13" s="1">
        <v>9371091073</v>
      </c>
      <c r="C13" s="8">
        <v>0</v>
      </c>
      <c r="D13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13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13" s="1" t="s">
        <v>728</v>
      </c>
      <c r="K13" s="5"/>
      <c r="L13" s="1" t="str">
        <f ca="1">IFERROR(IF(Vi_SIM_Mobile[[#This Row],[Warranty Date]]&lt;TODAY(), "Out of Warranty", IF(Vi_SIM_Mobile[[#This Row],[Warranty Date]]-TODAY()&lt;=30, "Expiring Soon", "In Warranty")),"-")</f>
        <v>-</v>
      </c>
      <c r="M13" s="5" t="str">
        <f>IFERROR(IF(Vi_SIM_Mobile[[#This Row],[Purchase Date]]="","NA",EDATE(Vi_SIM_Mobile[[#This Row],[Purchase Date]],12)),"NA")</f>
        <v>NA</v>
      </c>
      <c r="O13" s="6"/>
      <c r="P13" s="6"/>
      <c r="Q13" s="6"/>
      <c r="S13" s="6" t="s">
        <v>692</v>
      </c>
      <c r="T13" s="6"/>
      <c r="U13" s="1" t="s">
        <v>635</v>
      </c>
      <c r="V13" s="18"/>
    </row>
    <row r="14" spans="1:23" ht="20.100000000000001" customHeight="1" x14ac:dyDescent="0.25">
      <c r="A14" s="1">
        <f>ROW()-ROW(Vi_SIM_Mobile[[#Headers],[Sr. No.]])</f>
        <v>13</v>
      </c>
      <c r="B14" s="1">
        <v>9371091088</v>
      </c>
      <c r="C14" s="8">
        <v>652</v>
      </c>
      <c r="D14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Vishvajit Shivdas Nalawade</v>
      </c>
      <c r="E14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Technical Services</v>
      </c>
      <c r="F14" s="1" t="s">
        <v>728</v>
      </c>
      <c r="G14" s="1" t="s">
        <v>634</v>
      </c>
      <c r="H14" s="1" t="s">
        <v>634</v>
      </c>
      <c r="I14" s="1" t="s">
        <v>904</v>
      </c>
      <c r="J14" s="1" t="s">
        <v>754</v>
      </c>
      <c r="K14" s="5">
        <v>45723</v>
      </c>
      <c r="L14" s="1" t="str">
        <f ca="1">IFERROR(IF(Vi_SIM_Mobile[[#This Row],[Warranty Date]]&lt;TODAY(), "Out of Warranty", IF(Vi_SIM_Mobile[[#This Row],[Warranty Date]]-TODAY()&lt;=30, "Expiring Soon", "In Warranty")),"-")</f>
        <v>Out of Warranty</v>
      </c>
      <c r="M14" s="5">
        <f>IFERROR(IF(Vi_SIM_Mobile[[#This Row],[Purchase Date]]="","NA",EDATE(Vi_SIM_Mobile[[#This Row],[Purchase Date]],12)),"NA")</f>
        <v>46088</v>
      </c>
      <c r="N14" s="1" t="s">
        <v>639</v>
      </c>
      <c r="O14" s="6" t="s">
        <v>656</v>
      </c>
      <c r="P14" s="6" t="s">
        <v>657</v>
      </c>
      <c r="Q14" s="6"/>
      <c r="R14" s="1" t="s">
        <v>18</v>
      </c>
      <c r="S14" s="6" t="s">
        <v>693</v>
      </c>
      <c r="T14" s="6"/>
      <c r="U14" s="1" t="s">
        <v>635</v>
      </c>
      <c r="V14" s="18"/>
    </row>
    <row r="15" spans="1:23" ht="20.100000000000001" customHeight="1" x14ac:dyDescent="0.25">
      <c r="A15" s="1">
        <f>ROW()-ROW(Vi_SIM_Mobile[[#Headers],[Sr. No.]])</f>
        <v>14</v>
      </c>
      <c r="B15" s="1">
        <v>9371091634</v>
      </c>
      <c r="C15" s="8">
        <v>342</v>
      </c>
      <c r="D15" s="1" t="str">
        <f>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Amol Prakash Chaudhari</v>
      </c>
      <c r="E15" s="1" t="str">
        <f>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Project</v>
      </c>
      <c r="F15" s="1" t="s">
        <v>879</v>
      </c>
      <c r="I15" s="1" t="s">
        <v>903</v>
      </c>
      <c r="J15" s="1" t="s">
        <v>755</v>
      </c>
      <c r="K15" s="5">
        <v>46049</v>
      </c>
      <c r="L15" s="1" t="str">
        <f ca="1">IFERROR(IF(Vi_SIM_Mobile[[#This Row],[Warranty Date]]&lt;TODAY(), "Out of Warranty", IF(Vi_SIM_Mobile[[#This Row],[Warranty Date]]-TODAY()&lt;=30, "Expiring Soon", "In Warranty")),"-")</f>
        <v>In Warranty</v>
      </c>
      <c r="M15" s="5">
        <f>IFERROR(IF(Vi_SIM_Mobile[[#This Row],[Purchase Date]]="","NA",EDATE(Vi_SIM_Mobile[[#This Row],[Purchase Date]],12)),"NA")</f>
        <v>46414</v>
      </c>
      <c r="N15" s="1" t="s">
        <v>868</v>
      </c>
      <c r="O15" s="6" t="s">
        <v>866</v>
      </c>
      <c r="P15" s="6" t="s">
        <v>867</v>
      </c>
      <c r="Q15" s="6" t="s">
        <v>869</v>
      </c>
      <c r="R15" s="1" t="s">
        <v>18</v>
      </c>
      <c r="S15" s="6" t="s">
        <v>875</v>
      </c>
      <c r="T15" s="6"/>
      <c r="U15" s="1" t="s">
        <v>635</v>
      </c>
      <c r="V15" s="18" t="s">
        <v>870</v>
      </c>
    </row>
    <row r="16" spans="1:23" ht="20.100000000000001" customHeight="1" x14ac:dyDescent="0.25">
      <c r="A16" s="1">
        <f>ROW()-ROW(Vi_SIM_Mobile[[#Headers],[Sr. No.]])</f>
        <v>15</v>
      </c>
      <c r="B16" s="1">
        <v>9371091639</v>
      </c>
      <c r="C16" s="8">
        <v>106</v>
      </c>
      <c r="D16" s="1" t="str">
        <f>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Ganesh Vitthal Tadaka</v>
      </c>
      <c r="E16" s="1" t="str">
        <f>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Production</v>
      </c>
      <c r="F16" s="1" t="s">
        <v>905</v>
      </c>
      <c r="G16" s="1" t="s">
        <v>634</v>
      </c>
      <c r="H16" s="1" t="s">
        <v>634</v>
      </c>
      <c r="I16" s="1" t="s">
        <v>903</v>
      </c>
      <c r="J16" s="1" t="s">
        <v>755</v>
      </c>
      <c r="K16" s="5">
        <v>46097</v>
      </c>
      <c r="L16" s="1" t="str">
        <f ca="1">IFERROR(IF(Vi_SIM_Mobile[[#This Row],[Warranty Date]]&lt;TODAY(), "Out of Warranty", IF(Vi_SIM_Mobile[[#This Row],[Warranty Date]]-TODAY()&lt;=30, "Expiring Soon", "In Warranty")),"-")</f>
        <v>In Warranty</v>
      </c>
      <c r="M16" s="5">
        <f>IFERROR(IF(Vi_SIM_Mobile[[#This Row],[Purchase Date]]="","NA",EDATE(Vi_SIM_Mobile[[#This Row],[Purchase Date]],12)),"NA")</f>
        <v>46462</v>
      </c>
      <c r="N16" s="1" t="s">
        <v>868</v>
      </c>
      <c r="O16" s="6" t="s">
        <v>906</v>
      </c>
      <c r="P16" s="6" t="s">
        <v>907</v>
      </c>
      <c r="Q16" s="6" t="s">
        <v>908</v>
      </c>
      <c r="R16" s="1" t="s">
        <v>18</v>
      </c>
      <c r="S16" s="6" t="s">
        <v>888</v>
      </c>
      <c r="T16" s="6"/>
      <c r="U16" s="1" t="s">
        <v>635</v>
      </c>
      <c r="V16" s="18" t="s">
        <v>909</v>
      </c>
    </row>
    <row r="17" spans="1:22" ht="20.100000000000001" customHeight="1" x14ac:dyDescent="0.25">
      <c r="A17" s="1">
        <f>ROW()-ROW(Vi_SIM_Mobile[[#Headers],[Sr. No.]])</f>
        <v>16</v>
      </c>
      <c r="B17" s="1">
        <v>9371091641</v>
      </c>
      <c r="C17" s="8">
        <v>739</v>
      </c>
      <c r="D17" s="1" t="str">
        <f>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Rajendra Ambaji Ghodke</v>
      </c>
      <c r="E17" s="1" t="str">
        <f>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Project</v>
      </c>
      <c r="F17" s="1" t="s">
        <v>728</v>
      </c>
      <c r="G17" s="1" t="s">
        <v>634</v>
      </c>
      <c r="H17" s="1" t="s">
        <v>634</v>
      </c>
      <c r="J17" s="1" t="s">
        <v>898</v>
      </c>
      <c r="K17" s="5"/>
      <c r="L17" s="1" t="str">
        <f ca="1">IFERROR(IF(Vi_SIM_Mobile[[#This Row],[Warranty Date]]&lt;TODAY(), "Out of Warranty", IF(Vi_SIM_Mobile[[#This Row],[Warranty Date]]-TODAY()&lt;=30, "Expiring Soon", "In Warranty")),"-")</f>
        <v>-</v>
      </c>
      <c r="M17" s="5" t="str">
        <f>IFERROR(IF(Vi_SIM_Mobile[[#This Row],[Purchase Date]]="","NA",EDATE(Vi_SIM_Mobile[[#This Row],[Purchase Date]],12)),"NA")</f>
        <v>NA</v>
      </c>
      <c r="O17" s="6"/>
      <c r="P17" s="6"/>
      <c r="Q17" s="6"/>
      <c r="R17" s="1" t="s">
        <v>18</v>
      </c>
      <c r="S17" s="6" t="s">
        <v>877</v>
      </c>
      <c r="T17" s="6"/>
      <c r="U17" s="1" t="s">
        <v>635</v>
      </c>
      <c r="V17" s="18" t="s">
        <v>803</v>
      </c>
    </row>
    <row r="18" spans="1:22" ht="20.100000000000001" customHeight="1" x14ac:dyDescent="0.25">
      <c r="A18" s="1">
        <f>ROW()-ROW(Vi_SIM_Mobile[[#Headers],[Sr. No.]])</f>
        <v>17</v>
      </c>
      <c r="B18" s="1">
        <v>9371091652</v>
      </c>
      <c r="C18" s="8">
        <v>737</v>
      </c>
      <c r="D18" s="1" t="str">
        <f>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Pradeep Vasantappa Daruwale</v>
      </c>
      <c r="E18" s="1" t="str">
        <f>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Production</v>
      </c>
      <c r="F18" s="1" t="s">
        <v>728</v>
      </c>
      <c r="J18" s="1" t="s">
        <v>898</v>
      </c>
      <c r="K18" s="5"/>
      <c r="L18" s="1" t="str">
        <f ca="1">IFERROR(IF(Vi_SIM_Mobile[[#This Row],[Warranty Date]]&lt;TODAY(), "Out of Warranty", IF(Vi_SIM_Mobile[[#This Row],[Warranty Date]]-TODAY()&lt;=30, "Expiring Soon", "In Warranty")),"-")</f>
        <v>-</v>
      </c>
      <c r="M18" s="5" t="str">
        <f>IFERROR(IF(Vi_SIM_Mobile[[#This Row],[Purchase Date]]="","NA",EDATE(Vi_SIM_Mobile[[#This Row],[Purchase Date]],12)),"NA")</f>
        <v>NA</v>
      </c>
      <c r="O18" s="6"/>
      <c r="P18" s="6"/>
      <c r="Q18" s="6"/>
      <c r="S18" s="6" t="s">
        <v>878</v>
      </c>
      <c r="T18" s="6"/>
      <c r="U18" s="1" t="s">
        <v>635</v>
      </c>
      <c r="V18" s="18" t="s">
        <v>803</v>
      </c>
    </row>
    <row r="19" spans="1:22" ht="20.100000000000001" customHeight="1" x14ac:dyDescent="0.25">
      <c r="A19" s="1">
        <f>ROW()-ROW(Vi_SIM_Mobile[[#Headers],[Sr. No.]])</f>
        <v>18</v>
      </c>
      <c r="B19" s="1">
        <v>9371091661</v>
      </c>
      <c r="C19" s="8">
        <v>0</v>
      </c>
      <c r="D19" s="1" t="str">
        <f>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/>
      </c>
      <c r="E19" s="1" t="str">
        <f>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/>
      </c>
      <c r="K19" s="5"/>
      <c r="L19" s="1" t="str">
        <f ca="1">IFERROR(IF(Vi_SIM_Mobile[[#This Row],[Warranty Date]]&lt;TODAY(), "Out of Warranty", IF(Vi_SIM_Mobile[[#This Row],[Warranty Date]]-TODAY()&lt;=30, "Expiring Soon", "In Warranty")),"-")</f>
        <v>-</v>
      </c>
      <c r="M19" s="5" t="str">
        <f>IFERROR(IF(Vi_SIM_Mobile[[#This Row],[Purchase Date]]="","NA",EDATE(Vi_SIM_Mobile[[#This Row],[Purchase Date]],12)),"NA")</f>
        <v>NA</v>
      </c>
      <c r="O19" s="6"/>
      <c r="P19" s="6"/>
      <c r="Q19" s="6"/>
      <c r="S19" s="6" t="s">
        <v>899</v>
      </c>
      <c r="T19" s="6"/>
      <c r="U19" s="1" t="s">
        <v>635</v>
      </c>
      <c r="V19" s="18"/>
    </row>
    <row r="20" spans="1:22" ht="20.100000000000001" customHeight="1" x14ac:dyDescent="0.25">
      <c r="A20" s="1">
        <f>ROW()-ROW(Vi_SIM_Mobile[[#Headers],[Sr. No.]])</f>
        <v>19</v>
      </c>
      <c r="B20" s="1">
        <v>9371091662</v>
      </c>
      <c r="C20" s="8">
        <v>653</v>
      </c>
      <c r="D20" s="1" t="str">
        <f>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Piyush Dhanrajji Kapse</v>
      </c>
      <c r="E20" s="1" t="str">
        <f>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Production</v>
      </c>
      <c r="F20" s="1" t="s">
        <v>728</v>
      </c>
      <c r="G20" s="1" t="s">
        <v>634</v>
      </c>
      <c r="H20" s="1" t="s">
        <v>634</v>
      </c>
      <c r="I20" s="1" t="s">
        <v>904</v>
      </c>
      <c r="J20" s="1" t="s">
        <v>910</v>
      </c>
      <c r="K20" s="5"/>
      <c r="L20" s="1" t="str">
        <f ca="1">IFERROR(IF(Vi_SIM_Mobile[[#This Row],[Warranty Date]]&lt;TODAY(), "Out of Warranty", IF(Vi_SIM_Mobile[[#This Row],[Warranty Date]]-TODAY()&lt;=30, "Expiring Soon", "In Warranty")),"-")</f>
        <v>-</v>
      </c>
      <c r="M20" s="5" t="str">
        <f>IFERROR(IF(Vi_SIM_Mobile[[#This Row],[Purchase Date]]="","NA",EDATE(Vi_SIM_Mobile[[#This Row],[Purchase Date]],12)),"NA")</f>
        <v>NA</v>
      </c>
      <c r="N20" s="1" t="s">
        <v>868</v>
      </c>
      <c r="O20" s="6" t="s">
        <v>942</v>
      </c>
      <c r="P20" s="6" t="s">
        <v>943</v>
      </c>
      <c r="Q20" s="6"/>
      <c r="R20" s="1" t="s">
        <v>18</v>
      </c>
      <c r="S20" s="6" t="s">
        <v>900</v>
      </c>
      <c r="T20" s="6"/>
      <c r="U20" s="1" t="s">
        <v>635</v>
      </c>
      <c r="V20" s="18" t="s">
        <v>944</v>
      </c>
    </row>
    <row r="21" spans="1:22" ht="20.100000000000001" customHeight="1" x14ac:dyDescent="0.25">
      <c r="A21" s="1">
        <f>ROW()-ROW(Vi_SIM_Mobile[[#Headers],[Sr. No.]])</f>
        <v>20</v>
      </c>
      <c r="B21" s="1">
        <v>9371091664</v>
      </c>
      <c r="C21" s="8">
        <v>723</v>
      </c>
      <c r="D21" s="1" t="str">
        <f>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Pravin Shantaram Deshmukh</v>
      </c>
      <c r="E21" s="1" t="str">
        <f>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Engineering</v>
      </c>
      <c r="F21" s="1" t="s">
        <v>941</v>
      </c>
      <c r="G21" s="1" t="s">
        <v>634</v>
      </c>
      <c r="H21" s="1" t="s">
        <v>634</v>
      </c>
      <c r="I21" s="1" t="s">
        <v>634</v>
      </c>
      <c r="J21" s="1" t="s">
        <v>634</v>
      </c>
      <c r="K21" s="5" t="s">
        <v>634</v>
      </c>
      <c r="L21" s="1" t="str">
        <f ca="1">IFERROR(IF(Vi_SIM_Mobile[[#This Row],[Warranty Date]]&lt;TODAY(), "Out of Warranty", IF(Vi_SIM_Mobile[[#This Row],[Warranty Date]]-TODAY()&lt;=30, "Expiring Soon", "In Warranty")),"-")</f>
        <v>-</v>
      </c>
      <c r="M21" s="5" t="str">
        <f>IFERROR(IF(Vi_SIM_Mobile[[#This Row],[Purchase Date]]="","NA",EDATE(Vi_SIM_Mobile[[#This Row],[Purchase Date]],12)),"NA")</f>
        <v>NA</v>
      </c>
      <c r="N21" s="1" t="s">
        <v>634</v>
      </c>
      <c r="O21" s="6" t="s">
        <v>634</v>
      </c>
      <c r="P21" s="6" t="s">
        <v>634</v>
      </c>
      <c r="Q21" s="6" t="s">
        <v>634</v>
      </c>
      <c r="S21" s="6" t="s">
        <v>901</v>
      </c>
      <c r="T21" s="6"/>
      <c r="U21" s="1" t="s">
        <v>635</v>
      </c>
      <c r="V21" s="18"/>
    </row>
    <row r="22" spans="1:22" ht="20.100000000000001" customHeight="1" x14ac:dyDescent="0.25">
      <c r="A22" s="1">
        <f>ROW()-ROW(Vi_SIM_Mobile[[#Headers],[Sr. No.]])</f>
        <v>21</v>
      </c>
      <c r="B22" s="1">
        <v>9371091667</v>
      </c>
      <c r="C22" s="8">
        <v>0</v>
      </c>
      <c r="D22" s="1" t="str">
        <f>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/>
      </c>
      <c r="E22" s="1" t="str">
        <f>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/>
      </c>
      <c r="K22" s="5"/>
      <c r="L22" s="1" t="str">
        <f ca="1">IFERROR(IF(Vi_SIM_Mobile[[#This Row],[Warranty Date]]&lt;TODAY(), "Out of Warranty", IF(Vi_SIM_Mobile[[#This Row],[Warranty Date]]-TODAY()&lt;=30, "Expiring Soon", "In Warranty")),"-")</f>
        <v>-</v>
      </c>
      <c r="M22" s="5" t="str">
        <f>IFERROR(IF(Vi_SIM_Mobile[[#This Row],[Purchase Date]]="","NA",EDATE(Vi_SIM_Mobile[[#This Row],[Purchase Date]],12)),"NA")</f>
        <v>NA</v>
      </c>
      <c r="O22" s="6"/>
      <c r="P22" s="6"/>
      <c r="Q22" s="6"/>
      <c r="S22" s="6" t="s">
        <v>914</v>
      </c>
      <c r="T22" s="6"/>
      <c r="U22" s="1" t="s">
        <v>635</v>
      </c>
      <c r="V22" s="18"/>
    </row>
    <row r="23" spans="1:22" ht="20.100000000000001" customHeight="1" x14ac:dyDescent="0.25">
      <c r="A23" s="1">
        <f>ROW()-ROW(Vi_SIM_Mobile[[#Headers],[Sr. No.]])</f>
        <v>22</v>
      </c>
      <c r="B23" s="1">
        <v>9371091669</v>
      </c>
      <c r="C23" s="8">
        <v>747</v>
      </c>
      <c r="D23" s="1" t="str">
        <f>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Tanaji Nagorao Kadam</v>
      </c>
      <c r="E23" s="1" t="str">
        <f>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Technical Services</v>
      </c>
      <c r="F23" s="1" t="s">
        <v>728</v>
      </c>
      <c r="G23" s="1" t="s">
        <v>634</v>
      </c>
      <c r="H23" s="1" t="s">
        <v>634</v>
      </c>
      <c r="I23" s="1" t="s">
        <v>904</v>
      </c>
      <c r="J23" s="1" t="s">
        <v>898</v>
      </c>
      <c r="K23" s="5"/>
      <c r="L23" s="1" t="str">
        <f ca="1">IFERROR(IF(Vi_SIM_Mobile[[#This Row],[Warranty Date]]&lt;TODAY(), "Out of Warranty", IF(Vi_SIM_Mobile[[#This Row],[Warranty Date]]-TODAY()&lt;=30, "Expiring Soon", "In Warranty")),"-")</f>
        <v>-</v>
      </c>
      <c r="M23" s="5" t="str">
        <f>IFERROR(IF(Vi_SIM_Mobile[[#This Row],[Purchase Date]]="","NA",EDATE(Vi_SIM_Mobile[[#This Row],[Purchase Date]],12)),"NA")</f>
        <v>NA</v>
      </c>
      <c r="O23" s="6"/>
      <c r="P23" s="6"/>
      <c r="Q23" s="6"/>
      <c r="R23" s="1" t="s">
        <v>18</v>
      </c>
      <c r="S23" s="6" t="s">
        <v>915</v>
      </c>
      <c r="T23" s="6"/>
      <c r="U23" s="1" t="s">
        <v>635</v>
      </c>
      <c r="V23" s="18"/>
    </row>
    <row r="24" spans="1:22" ht="20.100000000000001" customHeight="1" x14ac:dyDescent="0.25">
      <c r="A24" s="1">
        <f>ROW()-ROW(Vi_SIM_Mobile[[#Headers],[Sr. No.]])</f>
        <v>23</v>
      </c>
      <c r="B24" s="1">
        <v>9371091689</v>
      </c>
      <c r="C24" s="8">
        <v>106</v>
      </c>
      <c r="D24" s="1" t="str">
        <f>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Ganesh Vitthal Tadaka</v>
      </c>
      <c r="E24" s="1" t="str">
        <f>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</f>
        <v>Production</v>
      </c>
      <c r="F24" s="1" t="s">
        <v>728</v>
      </c>
      <c r="G24" s="1" t="s">
        <v>634</v>
      </c>
      <c r="H24" s="1" t="s">
        <v>634</v>
      </c>
      <c r="I24" s="1" t="s">
        <v>904</v>
      </c>
      <c r="J24" s="1" t="s">
        <v>910</v>
      </c>
      <c r="K24" s="5">
        <v>46097</v>
      </c>
      <c r="L24" s="1" t="str">
        <f ca="1">IFERROR(IF(Vi_SIM_Mobile[[#This Row],[Warranty Date]]&lt;TODAY(), "Out of Warranty", IF(Vi_SIM_Mobile[[#This Row],[Warranty Date]]-TODAY()&lt;=30, "Expiring Soon", "In Warranty")),"-")</f>
        <v>In Warranty</v>
      </c>
      <c r="M24" s="5">
        <f>IFERROR(IF(Vi_SIM_Mobile[[#This Row],[Purchase Date]]="","NA",EDATE(Vi_SIM_Mobile[[#This Row],[Purchase Date]],12)),"NA")</f>
        <v>46462</v>
      </c>
      <c r="N24" s="1" t="s">
        <v>868</v>
      </c>
      <c r="O24" s="6" t="s">
        <v>912</v>
      </c>
      <c r="P24" s="6" t="s">
        <v>913</v>
      </c>
      <c r="Q24" s="6"/>
      <c r="R24" s="1" t="s">
        <v>18</v>
      </c>
      <c r="S24" s="6" t="s">
        <v>876</v>
      </c>
      <c r="T24" s="6"/>
      <c r="U24" s="1" t="s">
        <v>635</v>
      </c>
      <c r="V24" s="18" t="s">
        <v>911</v>
      </c>
    </row>
    <row r="25" spans="1:22" ht="20.100000000000001" customHeight="1" x14ac:dyDescent="0.25">
      <c r="A25" s="1">
        <f>ROW()-ROW(Vi_SIM_Mobile[[#Headers],[Sr. No.]])</f>
        <v>24</v>
      </c>
      <c r="B25" s="1">
        <v>9371109124</v>
      </c>
      <c r="C25" s="8">
        <v>0</v>
      </c>
      <c r="D25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25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25" s="1" t="s">
        <v>730</v>
      </c>
      <c r="I25" s="1" t="s">
        <v>903</v>
      </c>
      <c r="J25" s="1" t="s">
        <v>758</v>
      </c>
      <c r="K25" s="5">
        <v>45680</v>
      </c>
      <c r="L25" s="1" t="str">
        <f ca="1">IFERROR(IF(Vi_SIM_Mobile[[#This Row],[Warranty Date]]&lt;TODAY(), "Out of Warranty", IF(Vi_SIM_Mobile[[#This Row],[Warranty Date]]-TODAY()&lt;=30, "Expiring Soon", "In Warranty")),"-")</f>
        <v>Out of Warranty</v>
      </c>
      <c r="M25" s="5">
        <f>IFERROR(IF(Vi_SIM_Mobile[[#This Row],[Purchase Date]]="","NA",EDATE(Vi_SIM_Mobile[[#This Row],[Purchase Date]],12)),"NA")</f>
        <v>46045</v>
      </c>
      <c r="O25" s="6" t="s">
        <v>658</v>
      </c>
      <c r="P25" s="6"/>
      <c r="Q25" s="6"/>
      <c r="S25" s="6" t="s">
        <v>694</v>
      </c>
      <c r="T25" s="6"/>
      <c r="U25" s="1" t="s">
        <v>635</v>
      </c>
      <c r="V25" s="18"/>
    </row>
    <row r="26" spans="1:22" ht="20.100000000000001" customHeight="1" x14ac:dyDescent="0.25">
      <c r="A26" s="1">
        <f>ROW()-ROW(Vi_SIM_Mobile[[#Headers],[Sr. No.]])</f>
        <v>25</v>
      </c>
      <c r="B26" s="1">
        <v>9371109125</v>
      </c>
      <c r="C26" s="8">
        <v>0</v>
      </c>
      <c r="D26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26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26" s="1" t="s">
        <v>731</v>
      </c>
      <c r="I26" s="1" t="s">
        <v>903</v>
      </c>
      <c r="J26" s="1" t="s">
        <v>758</v>
      </c>
      <c r="K26" s="5" t="s">
        <v>637</v>
      </c>
      <c r="L26" s="1" t="str">
        <f ca="1">IFERROR(IF(Vi_SIM_Mobile[[#This Row],[Warranty Date]]&lt;TODAY(), "Out of Warranty", IF(Vi_SIM_Mobile[[#This Row],[Warranty Date]]-TODAY()&lt;=30, "Expiring Soon", "In Warranty")),"-")</f>
        <v>-</v>
      </c>
      <c r="M26" s="5" t="str">
        <f>IFERROR(IF(Vi_SIM_Mobile[[#This Row],[Purchase Date]]="","NA",EDATE(Vi_SIM_Mobile[[#This Row],[Purchase Date]],12)),"NA")</f>
        <v>NA</v>
      </c>
      <c r="O26" s="6"/>
      <c r="P26" s="6"/>
      <c r="Q26" s="6"/>
      <c r="S26" s="6" t="s">
        <v>695</v>
      </c>
      <c r="T26" s="6"/>
      <c r="U26" s="1" t="s">
        <v>635</v>
      </c>
      <c r="V26" s="18"/>
    </row>
    <row r="27" spans="1:22" ht="20.100000000000001" customHeight="1" x14ac:dyDescent="0.25">
      <c r="A27" s="1">
        <f>ROW()-ROW(Vi_SIM_Mobile[[#Headers],[Sr. No.]])</f>
        <v>26</v>
      </c>
      <c r="B27" s="1">
        <v>9371109126</v>
      </c>
      <c r="C27" s="8">
        <v>0</v>
      </c>
      <c r="D27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27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27" s="1" t="s">
        <v>732</v>
      </c>
      <c r="I27" s="1" t="s">
        <v>903</v>
      </c>
      <c r="J27" s="1" t="s">
        <v>758</v>
      </c>
      <c r="K27" s="5" t="s">
        <v>637</v>
      </c>
      <c r="L27" s="1" t="str">
        <f ca="1">IFERROR(IF(Vi_SIM_Mobile[[#This Row],[Warranty Date]]&lt;TODAY(), "Out of Warranty", IF(Vi_SIM_Mobile[[#This Row],[Warranty Date]]-TODAY()&lt;=30, "Expiring Soon", "In Warranty")),"-")</f>
        <v>-</v>
      </c>
      <c r="M27" s="5" t="str">
        <f>IFERROR(IF(Vi_SIM_Mobile[[#This Row],[Purchase Date]]="","NA",EDATE(Vi_SIM_Mobile[[#This Row],[Purchase Date]],12)),"NA")</f>
        <v>NA</v>
      </c>
      <c r="O27" s="6"/>
      <c r="P27" s="6"/>
      <c r="Q27" s="6"/>
      <c r="S27" s="6" t="s">
        <v>696</v>
      </c>
      <c r="T27" s="6"/>
      <c r="U27" s="1" t="s">
        <v>635</v>
      </c>
      <c r="V27" s="18"/>
    </row>
    <row r="28" spans="1:22" ht="20.100000000000001" customHeight="1" x14ac:dyDescent="0.25">
      <c r="A28" s="1">
        <f>ROW()-ROW(Vi_SIM_Mobile[[#Headers],[Sr. No.]])</f>
        <v>27</v>
      </c>
      <c r="B28" s="1">
        <v>9371109127</v>
      </c>
      <c r="C28" s="8">
        <v>383</v>
      </c>
      <c r="D28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Siddeshwar Mahadev More</v>
      </c>
      <c r="E28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Utility</v>
      </c>
      <c r="F28" s="1" t="s">
        <v>733</v>
      </c>
      <c r="I28" s="1" t="s">
        <v>903</v>
      </c>
      <c r="J28" s="1" t="s">
        <v>755</v>
      </c>
      <c r="K28" s="5">
        <v>46189</v>
      </c>
      <c r="L28" s="1" t="str">
        <f ca="1">IFERROR(IF(Vi_SIM_Mobile[[#This Row],[Warranty Date]]&lt;TODAY(), "Out of Warranty", IF(Vi_SIM_Mobile[[#This Row],[Warranty Date]]-TODAY()&lt;=30, "Expiring Soon", "In Warranty")),"-")</f>
        <v>In Warranty</v>
      </c>
      <c r="M28" s="5">
        <f>IFERROR(IF(Vi_SIM_Mobile[[#This Row],[Purchase Date]]="","NA",EDATE(Vi_SIM_Mobile[[#This Row],[Purchase Date]],12)),"NA")</f>
        <v>46554</v>
      </c>
      <c r="N28" s="1" t="s">
        <v>868</v>
      </c>
      <c r="O28" s="6" t="s">
        <v>945</v>
      </c>
      <c r="P28" s="6" t="s">
        <v>946</v>
      </c>
      <c r="Q28" s="6" t="s">
        <v>947</v>
      </c>
      <c r="R28" s="1" t="s">
        <v>18</v>
      </c>
      <c r="S28" s="6" t="s">
        <v>697</v>
      </c>
      <c r="T28" s="6"/>
      <c r="U28" s="1" t="s">
        <v>635</v>
      </c>
      <c r="V28" s="18" t="s">
        <v>948</v>
      </c>
    </row>
    <row r="29" spans="1:22" ht="20.100000000000001" customHeight="1" x14ac:dyDescent="0.25">
      <c r="A29" s="1">
        <f>ROW()-ROW(Vi_SIM_Mobile[[#Headers],[Sr. No.]])</f>
        <v>28</v>
      </c>
      <c r="B29" s="1">
        <v>9371109128</v>
      </c>
      <c r="C29" s="8">
        <v>14</v>
      </c>
      <c r="D29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Prashant Sukhdev Ingle</v>
      </c>
      <c r="E29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HR</v>
      </c>
      <c r="I29" s="1" t="s">
        <v>903</v>
      </c>
      <c r="J29" s="1" t="s">
        <v>758</v>
      </c>
      <c r="K29" s="5">
        <v>45572</v>
      </c>
      <c r="L29" s="1" t="str">
        <f ca="1">IFERROR(IF(Vi_SIM_Mobile[[#This Row],[Warranty Date]]&lt;TODAY(), "Out of Warranty", IF(Vi_SIM_Mobile[[#This Row],[Warranty Date]]-TODAY()&lt;=30, "Expiring Soon", "In Warranty")),"-")</f>
        <v>Out of Warranty</v>
      </c>
      <c r="M29" s="5">
        <f>IFERROR(IF(Vi_SIM_Mobile[[#This Row],[Purchase Date]]="","NA",EDATE(Vi_SIM_Mobile[[#This Row],[Purchase Date]],12)),"NA")</f>
        <v>45937</v>
      </c>
      <c r="O29" s="6"/>
      <c r="P29" s="6"/>
      <c r="Q29" s="6"/>
      <c r="S29" s="6" t="s">
        <v>698</v>
      </c>
      <c r="T29" s="6"/>
      <c r="U29" s="1" t="s">
        <v>635</v>
      </c>
      <c r="V29" s="18"/>
    </row>
    <row r="30" spans="1:22" ht="20.100000000000001" customHeight="1" x14ac:dyDescent="0.25">
      <c r="A30" s="1">
        <f>ROW()-ROW(Vi_SIM_Mobile[[#Headers],[Sr. No.]])</f>
        <v>29</v>
      </c>
      <c r="B30" s="1">
        <v>9371109129</v>
      </c>
      <c r="C30" s="8">
        <v>0</v>
      </c>
      <c r="D30" s="1" t="s">
        <v>763</v>
      </c>
      <c r="E30" s="1" t="s">
        <v>761</v>
      </c>
      <c r="F30" s="1" t="s">
        <v>734</v>
      </c>
      <c r="G30" s="1" t="s">
        <v>760</v>
      </c>
      <c r="H30" s="1" t="s">
        <v>761</v>
      </c>
      <c r="I30" s="1" t="s">
        <v>903</v>
      </c>
      <c r="J30" s="1" t="s">
        <v>755</v>
      </c>
      <c r="K30" s="5">
        <v>45882</v>
      </c>
      <c r="L30" s="1" t="str">
        <f ca="1">IFERROR(IF(Vi_SIM_Mobile[[#This Row],[Warranty Date]]&lt;TODAY(), "Out of Warranty", IF(Vi_SIM_Mobile[[#This Row],[Warranty Date]]-TODAY()&lt;=30, "Expiring Soon", "In Warranty")),"-")</f>
        <v>Out of Warranty</v>
      </c>
      <c r="M30" s="5">
        <f>IFERROR(IF(Vi_SIM_Mobile[[#This Row],[Purchase Date]]="","NA",EDATE(Vi_SIM_Mobile[[#This Row],[Purchase Date]],12)),"NA")</f>
        <v>46247</v>
      </c>
      <c r="N30" s="1" t="s">
        <v>638</v>
      </c>
      <c r="O30" s="6" t="s">
        <v>659</v>
      </c>
      <c r="P30" s="6" t="s">
        <v>660</v>
      </c>
      <c r="Q30" s="6" t="s">
        <v>661</v>
      </c>
      <c r="R30" s="1" t="s">
        <v>18</v>
      </c>
      <c r="S30" s="6" t="s">
        <v>699</v>
      </c>
      <c r="T30" s="6"/>
      <c r="U30" s="1" t="s">
        <v>635</v>
      </c>
      <c r="V30" s="18"/>
    </row>
    <row r="31" spans="1:22" ht="20.100000000000001" customHeight="1" x14ac:dyDescent="0.25">
      <c r="A31" s="1">
        <f>ROW()-ROW(Vi_SIM_Mobile[[#Headers],[Sr. No.]])</f>
        <v>30</v>
      </c>
      <c r="B31" s="1">
        <v>9371109130</v>
      </c>
      <c r="C31" s="8">
        <v>302</v>
      </c>
      <c r="D31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Pandurang Dagadu Ingale</v>
      </c>
      <c r="E31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Production</v>
      </c>
      <c r="F31" s="1" t="s">
        <v>735</v>
      </c>
      <c r="I31" s="1" t="s">
        <v>903</v>
      </c>
      <c r="J31" s="1" t="s">
        <v>755</v>
      </c>
      <c r="K31" s="5">
        <v>45883</v>
      </c>
      <c r="L31" s="1" t="str">
        <f ca="1">IFERROR(IF(Vi_SIM_Mobile[[#This Row],[Warranty Date]]&lt;TODAY(), "Out of Warranty", IF(Vi_SIM_Mobile[[#This Row],[Warranty Date]]-TODAY()&lt;=30, "Expiring Soon", "In Warranty")),"-")</f>
        <v>Out of Warranty</v>
      </c>
      <c r="M31" s="5">
        <f>IFERROR(IF(Vi_SIM_Mobile[[#This Row],[Purchase Date]]="","NA",EDATE(Vi_SIM_Mobile[[#This Row],[Purchase Date]],12)),"NA")</f>
        <v>46248</v>
      </c>
      <c r="N31" s="1" t="s">
        <v>638</v>
      </c>
      <c r="O31" s="6" t="s">
        <v>671</v>
      </c>
      <c r="P31" s="6" t="s">
        <v>672</v>
      </c>
      <c r="Q31" s="6" t="s">
        <v>673</v>
      </c>
      <c r="R31" s="1" t="s">
        <v>18</v>
      </c>
      <c r="S31" s="6" t="s">
        <v>700</v>
      </c>
      <c r="T31" s="6"/>
      <c r="U31" s="1" t="s">
        <v>635</v>
      </c>
      <c r="V31" s="18"/>
    </row>
    <row r="32" spans="1:22" ht="20.100000000000001" customHeight="1" x14ac:dyDescent="0.25">
      <c r="A32" s="1">
        <f>ROW()-ROW(Vi_SIM_Mobile[[#Headers],[Sr. No.]])</f>
        <v>31</v>
      </c>
      <c r="B32" s="1">
        <v>9371109131</v>
      </c>
      <c r="C32" s="8">
        <v>0</v>
      </c>
      <c r="D32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32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32" s="1" t="s">
        <v>736</v>
      </c>
      <c r="I32" s="1" t="s">
        <v>903</v>
      </c>
      <c r="J32" s="1" t="s">
        <v>758</v>
      </c>
      <c r="K32" s="5">
        <v>45546</v>
      </c>
      <c r="L32" s="1" t="str">
        <f ca="1">IFERROR(IF(Vi_SIM_Mobile[[#This Row],[Warranty Date]]&lt;TODAY(), "Out of Warranty", IF(Vi_SIM_Mobile[[#This Row],[Warranty Date]]-TODAY()&lt;=30, "Expiring Soon", "In Warranty")),"-")</f>
        <v>Out of Warranty</v>
      </c>
      <c r="M32" s="5">
        <f>IFERROR(IF(Vi_SIM_Mobile[[#This Row],[Purchase Date]]="","NA",EDATE(Vi_SIM_Mobile[[#This Row],[Purchase Date]],12)),"NA")</f>
        <v>45911</v>
      </c>
      <c r="O32" s="6"/>
      <c r="P32" s="6"/>
      <c r="Q32" s="6"/>
      <c r="S32" s="6" t="s">
        <v>701</v>
      </c>
      <c r="T32" s="6"/>
      <c r="U32" s="1" t="s">
        <v>635</v>
      </c>
      <c r="V32" s="18"/>
    </row>
    <row r="33" spans="1:24" ht="20.100000000000001" customHeight="1" x14ac:dyDescent="0.25">
      <c r="A33" s="1">
        <f>ROW()-ROW(Vi_SIM_Mobile[[#Headers],[Sr. No.]])</f>
        <v>32</v>
      </c>
      <c r="B33" s="1">
        <v>9371109132</v>
      </c>
      <c r="C33" s="8">
        <v>0</v>
      </c>
      <c r="D33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33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33" s="1" t="s">
        <v>737</v>
      </c>
      <c r="I33" s="1" t="s">
        <v>903</v>
      </c>
      <c r="J33" s="1" t="s">
        <v>758</v>
      </c>
      <c r="K33" s="5">
        <v>45572</v>
      </c>
      <c r="L33" s="1" t="str">
        <f ca="1">IFERROR(IF(Vi_SIM_Mobile[[#This Row],[Warranty Date]]&lt;TODAY(), "Out of Warranty", IF(Vi_SIM_Mobile[[#This Row],[Warranty Date]]-TODAY()&lt;=30, "Expiring Soon", "In Warranty")),"-")</f>
        <v>Out of Warranty</v>
      </c>
      <c r="M33" s="5">
        <f>IFERROR(IF(Vi_SIM_Mobile[[#This Row],[Purchase Date]]="","NA",EDATE(Vi_SIM_Mobile[[#This Row],[Purchase Date]],12)),"NA")</f>
        <v>45937</v>
      </c>
      <c r="O33" s="6"/>
      <c r="P33" s="6"/>
      <c r="Q33" s="6"/>
      <c r="S33" s="6" t="s">
        <v>702</v>
      </c>
      <c r="T33" s="6"/>
      <c r="U33" s="1" t="s">
        <v>635</v>
      </c>
      <c r="V33" s="18"/>
    </row>
    <row r="34" spans="1:24" ht="20.100000000000001" customHeight="1" x14ac:dyDescent="0.25">
      <c r="A34" s="1">
        <f>ROW()-ROW(Vi_SIM_Mobile[[#Headers],[Sr. No.]])</f>
        <v>33</v>
      </c>
      <c r="B34" s="1">
        <v>9371109133</v>
      </c>
      <c r="C34" s="8">
        <v>0</v>
      </c>
      <c r="D34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34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34" s="1" t="s">
        <v>738</v>
      </c>
      <c r="I34" s="1" t="s">
        <v>903</v>
      </c>
      <c r="J34" s="1" t="s">
        <v>758</v>
      </c>
      <c r="K34" s="5" t="s">
        <v>637</v>
      </c>
      <c r="L34" s="1" t="str">
        <f ca="1">IFERROR(IF(Vi_SIM_Mobile[[#This Row],[Warranty Date]]&lt;TODAY(), "Out of Warranty", IF(Vi_SIM_Mobile[[#This Row],[Warranty Date]]-TODAY()&lt;=30, "Expiring Soon", "In Warranty")),"-")</f>
        <v>-</v>
      </c>
      <c r="M34" s="5" t="str">
        <f>IFERROR(IF(Vi_SIM_Mobile[[#This Row],[Purchase Date]]="","NA",EDATE(Vi_SIM_Mobile[[#This Row],[Purchase Date]],12)),"NA")</f>
        <v>NA</v>
      </c>
      <c r="O34" s="6"/>
      <c r="P34" s="6"/>
      <c r="Q34" s="6"/>
      <c r="S34" s="6" t="s">
        <v>703</v>
      </c>
      <c r="T34" s="6"/>
      <c r="U34" s="1" t="s">
        <v>635</v>
      </c>
      <c r="V34" s="18"/>
    </row>
    <row r="35" spans="1:24" ht="20.100000000000001" customHeight="1" x14ac:dyDescent="0.25">
      <c r="A35" s="1">
        <f>ROW()-ROW(Vi_SIM_Mobile[[#Headers],[Sr. No.]])</f>
        <v>34</v>
      </c>
      <c r="B35" s="1">
        <v>9371109134</v>
      </c>
      <c r="C35" s="8">
        <v>0</v>
      </c>
      <c r="D35" s="1" t="s">
        <v>764</v>
      </c>
      <c r="E35" s="1" t="s">
        <v>761</v>
      </c>
      <c r="F35" s="1" t="s">
        <v>739</v>
      </c>
      <c r="I35" s="1" t="s">
        <v>903</v>
      </c>
      <c r="J35" s="1" t="s">
        <v>755</v>
      </c>
      <c r="K35" s="5">
        <v>45882</v>
      </c>
      <c r="L35" s="1" t="str">
        <f ca="1">IFERROR(IF(Vi_SIM_Mobile[[#This Row],[Warranty Date]]&lt;TODAY(), "Out of Warranty", IF(Vi_SIM_Mobile[[#This Row],[Warranty Date]]-TODAY()&lt;=30, "Expiring Soon", "In Warranty")),"-")</f>
        <v>Out of Warranty</v>
      </c>
      <c r="M35" s="5">
        <f>IFERROR(IF(Vi_SIM_Mobile[[#This Row],[Purchase Date]]="","NA",EDATE(Vi_SIM_Mobile[[#This Row],[Purchase Date]],12)),"NA")</f>
        <v>46247</v>
      </c>
      <c r="N35" s="1" t="s">
        <v>638</v>
      </c>
      <c r="O35" s="6" t="s">
        <v>662</v>
      </c>
      <c r="P35" s="6" t="s">
        <v>663</v>
      </c>
      <c r="Q35" s="6" t="s">
        <v>664</v>
      </c>
      <c r="R35" s="1" t="s">
        <v>18</v>
      </c>
      <c r="S35" s="6" t="s">
        <v>704</v>
      </c>
      <c r="T35" s="6"/>
      <c r="U35" s="1" t="s">
        <v>635</v>
      </c>
      <c r="V35" s="18"/>
    </row>
    <row r="36" spans="1:24" ht="20.100000000000001" customHeight="1" x14ac:dyDescent="0.25">
      <c r="A36" s="1">
        <f>ROW()-ROW(Vi_SIM_Mobile[[#Headers],[Sr. No.]])</f>
        <v>35</v>
      </c>
      <c r="B36" s="1">
        <v>9371109135</v>
      </c>
      <c r="C36" s="8">
        <v>0</v>
      </c>
      <c r="D36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36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36" s="1" t="s">
        <v>740</v>
      </c>
      <c r="I36" s="1" t="s">
        <v>903</v>
      </c>
      <c r="J36" s="1" t="s">
        <v>758</v>
      </c>
      <c r="K36" s="5" t="s">
        <v>637</v>
      </c>
      <c r="L36" s="1" t="str">
        <f ca="1">IFERROR(IF(Vi_SIM_Mobile[[#This Row],[Warranty Date]]&lt;TODAY(), "Out of Warranty", IF(Vi_SIM_Mobile[[#This Row],[Warranty Date]]-TODAY()&lt;=30, "Expiring Soon", "In Warranty")),"-")</f>
        <v>-</v>
      </c>
      <c r="M36" s="5" t="str">
        <f>IFERROR(IF(Vi_SIM_Mobile[[#This Row],[Purchase Date]]="","NA",EDATE(Vi_SIM_Mobile[[#This Row],[Purchase Date]],12)),"NA")</f>
        <v>NA</v>
      </c>
      <c r="O36" s="6"/>
      <c r="P36" s="6"/>
      <c r="Q36" s="6"/>
      <c r="S36" s="6" t="s">
        <v>705</v>
      </c>
      <c r="T36" s="6"/>
      <c r="U36" s="1" t="s">
        <v>635</v>
      </c>
      <c r="V36" s="18"/>
    </row>
    <row r="37" spans="1:24" ht="20.100000000000001" customHeight="1" x14ac:dyDescent="0.25">
      <c r="A37" s="1">
        <f>ROW()-ROW(Vi_SIM_Mobile[[#Headers],[Sr. No.]])</f>
        <v>36</v>
      </c>
      <c r="B37" s="1">
        <v>9371109136</v>
      </c>
      <c r="C37" s="8">
        <v>106</v>
      </c>
      <c r="D37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Ganesh Vitthal Tadaka</v>
      </c>
      <c r="E37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Production</v>
      </c>
      <c r="F37" s="1" t="s">
        <v>741</v>
      </c>
      <c r="G37" s="1" t="s">
        <v>634</v>
      </c>
      <c r="H37" s="1" t="s">
        <v>634</v>
      </c>
      <c r="I37" s="1" t="s">
        <v>903</v>
      </c>
      <c r="J37" s="1" t="s">
        <v>755</v>
      </c>
      <c r="K37" s="5">
        <v>45935</v>
      </c>
      <c r="L37" s="1" t="str">
        <f ca="1">IFERROR(IF(Vi_SIM_Mobile[[#This Row],[Warranty Date]]&lt;TODAY(), "Out of Warranty", IF(Vi_SIM_Mobile[[#This Row],[Warranty Date]]-TODAY()&lt;=30, "Expiring Soon", "In Warranty")),"-")</f>
        <v>Expiring Soon</v>
      </c>
      <c r="M37" s="5">
        <f>IFERROR(IF(Vi_SIM_Mobile[[#This Row],[Purchase Date]]="","NA",EDATE(Vi_SIM_Mobile[[#This Row],[Purchase Date]],12)),"NA")</f>
        <v>46300</v>
      </c>
      <c r="N37" s="1" t="s">
        <v>638</v>
      </c>
      <c r="O37" s="6" t="s">
        <v>665</v>
      </c>
      <c r="P37" s="6" t="s">
        <v>666</v>
      </c>
      <c r="Q37" s="6" t="s">
        <v>667</v>
      </c>
      <c r="R37" s="1" t="s">
        <v>18</v>
      </c>
      <c r="S37" s="6" t="s">
        <v>706</v>
      </c>
      <c r="T37" s="6"/>
      <c r="U37" s="1" t="s">
        <v>635</v>
      </c>
      <c r="V37" s="18"/>
    </row>
    <row r="38" spans="1:24" ht="20.100000000000001" customHeight="1" x14ac:dyDescent="0.25">
      <c r="A38" s="1">
        <f>ROW()-ROW(Vi_SIM_Mobile[[#Headers],[Sr. No.]])</f>
        <v>37</v>
      </c>
      <c r="B38" s="1">
        <v>9371109137</v>
      </c>
      <c r="C38" s="8">
        <v>0</v>
      </c>
      <c r="D38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38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38" s="1" t="s">
        <v>742</v>
      </c>
      <c r="I38" s="1" t="s">
        <v>903</v>
      </c>
      <c r="J38" s="1" t="s">
        <v>758</v>
      </c>
      <c r="K38" s="5" t="s">
        <v>637</v>
      </c>
      <c r="L38" s="1" t="str">
        <f ca="1">IFERROR(IF(Vi_SIM_Mobile[[#This Row],[Warranty Date]]&lt;TODAY(), "Out of Warranty", IF(Vi_SIM_Mobile[[#This Row],[Warranty Date]]-TODAY()&lt;=30, "Expiring Soon", "In Warranty")),"-")</f>
        <v>-</v>
      </c>
      <c r="M38" s="5" t="str">
        <f>IFERROR(IF(Vi_SIM_Mobile[[#This Row],[Purchase Date]]="","NA",EDATE(Vi_SIM_Mobile[[#This Row],[Purchase Date]],12)),"NA")</f>
        <v>NA</v>
      </c>
      <c r="O38" s="6"/>
      <c r="P38" s="6"/>
      <c r="Q38" s="6"/>
      <c r="S38" s="6" t="s">
        <v>707</v>
      </c>
      <c r="T38" s="6"/>
      <c r="U38" s="1" t="s">
        <v>635</v>
      </c>
      <c r="V38" s="18"/>
    </row>
    <row r="39" spans="1:24" ht="20.100000000000001" customHeight="1" x14ac:dyDescent="0.25">
      <c r="A39" s="1">
        <f>ROW()-ROW(Vi_SIM_Mobile[[#Headers],[Sr. No.]])</f>
        <v>38</v>
      </c>
      <c r="B39" s="1">
        <v>9371109139</v>
      </c>
      <c r="C39" s="8">
        <v>365</v>
      </c>
      <c r="D39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Vikas Kashinath Kale</v>
      </c>
      <c r="E39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Environment</v>
      </c>
      <c r="F39" s="1" t="s">
        <v>743</v>
      </c>
      <c r="G39" s="1" t="s">
        <v>634</v>
      </c>
      <c r="H39" s="1" t="s">
        <v>634</v>
      </c>
      <c r="I39" s="1" t="s">
        <v>903</v>
      </c>
      <c r="J39" s="1" t="s">
        <v>755</v>
      </c>
      <c r="K39" s="5">
        <v>45783</v>
      </c>
      <c r="L39" s="1" t="str">
        <f ca="1">IFERROR(IF(Vi_SIM_Mobile[[#This Row],[Warranty Date]]&lt;TODAY(), "Out of Warranty", IF(Vi_SIM_Mobile[[#This Row],[Warranty Date]]-TODAY()&lt;=30, "Expiring Soon", "In Warranty")),"-")</f>
        <v>Out of Warranty</v>
      </c>
      <c r="M39" s="5">
        <f>IFERROR(IF(Vi_SIM_Mobile[[#This Row],[Purchase Date]]="","NA",EDATE(Vi_SIM_Mobile[[#This Row],[Purchase Date]],12)),"NA")</f>
        <v>46148</v>
      </c>
      <c r="N39" s="1" t="s">
        <v>638</v>
      </c>
      <c r="O39" s="6" t="s">
        <v>885</v>
      </c>
      <c r="P39" s="6" t="s">
        <v>886</v>
      </c>
      <c r="Q39" s="6" t="s">
        <v>887</v>
      </c>
      <c r="R39" s="1" t="s">
        <v>18</v>
      </c>
      <c r="S39" s="6" t="s">
        <v>708</v>
      </c>
      <c r="T39" s="6"/>
      <c r="U39" s="1" t="s">
        <v>635</v>
      </c>
      <c r="V39" s="18"/>
    </row>
    <row r="40" spans="1:24" ht="20.100000000000001" customHeight="1" x14ac:dyDescent="0.25">
      <c r="A40" s="1">
        <f>ROW()-ROW(Vi_SIM_Mobile[[#Headers],[Sr. No.]])</f>
        <v>39</v>
      </c>
      <c r="B40" s="1">
        <v>9371109140</v>
      </c>
      <c r="C40" s="8">
        <v>0</v>
      </c>
      <c r="D40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40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40" s="1" t="s">
        <v>744</v>
      </c>
      <c r="I40" s="1" t="s">
        <v>903</v>
      </c>
      <c r="J40" s="1" t="s">
        <v>759</v>
      </c>
      <c r="K40" s="5" t="s">
        <v>637</v>
      </c>
      <c r="L40" s="1" t="str">
        <f ca="1">IFERROR(IF(Vi_SIM_Mobile[[#This Row],[Warranty Date]]&lt;TODAY(), "Out of Warranty", IF(Vi_SIM_Mobile[[#This Row],[Warranty Date]]-TODAY()&lt;=30, "Expiring Soon", "In Warranty")),"-")</f>
        <v>-</v>
      </c>
      <c r="M40" s="5" t="str">
        <f>IFERROR(IF(Vi_SIM_Mobile[[#This Row],[Purchase Date]]="","NA",EDATE(Vi_SIM_Mobile[[#This Row],[Purchase Date]],12)),"NA")</f>
        <v>NA</v>
      </c>
      <c r="O40" s="6"/>
      <c r="P40" s="6"/>
      <c r="Q40" s="6"/>
      <c r="S40" s="6" t="s">
        <v>709</v>
      </c>
      <c r="T40" s="6"/>
      <c r="U40" s="1" t="s">
        <v>635</v>
      </c>
      <c r="V40" s="18"/>
    </row>
    <row r="41" spans="1:24" ht="20.100000000000001" customHeight="1" x14ac:dyDescent="0.25">
      <c r="A41" s="1">
        <f>ROW()-ROW(Vi_SIM_Mobile[[#Headers],[Sr. No.]])</f>
        <v>40</v>
      </c>
      <c r="B41" s="1">
        <v>9371109141</v>
      </c>
      <c r="C41" s="8">
        <v>22</v>
      </c>
      <c r="D41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Savala Jagannath Kumbhar</v>
      </c>
      <c r="E41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Electrical</v>
      </c>
      <c r="F41" s="1" t="s">
        <v>919</v>
      </c>
      <c r="G41" s="1" t="s">
        <v>634</v>
      </c>
      <c r="H41" s="1" t="s">
        <v>634</v>
      </c>
      <c r="I41" s="1" t="s">
        <v>903</v>
      </c>
      <c r="J41" s="1" t="s">
        <v>755</v>
      </c>
      <c r="K41" s="5">
        <v>46150</v>
      </c>
      <c r="L41" s="1" t="str">
        <f ca="1">IFERROR(IF(Vi_SIM_Mobile[[#This Row],[Warranty Date]]&lt;TODAY(), "Out of Warranty", IF(Vi_SIM_Mobile[[#This Row],[Warranty Date]]-TODAY()&lt;=30, "Expiring Soon", "In Warranty")),"-")</f>
        <v>In Warranty</v>
      </c>
      <c r="M41" s="5">
        <f>IFERROR(IF(Vi_SIM_Mobile[[#This Row],[Purchase Date]]="","NA",EDATE(Vi_SIM_Mobile[[#This Row],[Purchase Date]],12)),"NA")</f>
        <v>46515</v>
      </c>
      <c r="N41" s="1" t="s">
        <v>638</v>
      </c>
      <c r="O41" s="6" t="s">
        <v>920</v>
      </c>
      <c r="P41" s="6" t="s">
        <v>921</v>
      </c>
      <c r="Q41" s="6" t="s">
        <v>922</v>
      </c>
      <c r="R41" s="1" t="s">
        <v>18</v>
      </c>
      <c r="S41" s="6" t="s">
        <v>710</v>
      </c>
      <c r="T41" s="6"/>
      <c r="U41" s="1" t="s">
        <v>635</v>
      </c>
      <c r="V41" s="18" t="s">
        <v>923</v>
      </c>
    </row>
    <row r="42" spans="1:24" ht="20.100000000000001" customHeight="1" x14ac:dyDescent="0.25">
      <c r="A42" s="1">
        <f>ROW()-ROW(Vi_SIM_Mobile[[#Headers],[Sr. No.]])</f>
        <v>41</v>
      </c>
      <c r="B42" s="1">
        <v>9371109142</v>
      </c>
      <c r="C42" s="8">
        <v>603</v>
      </c>
      <c r="D42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Dattatray Deepak Chavan</v>
      </c>
      <c r="E42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Maintenance</v>
      </c>
      <c r="F42" s="1" t="s">
        <v>160</v>
      </c>
      <c r="I42" s="1" t="s">
        <v>903</v>
      </c>
      <c r="J42" s="1" t="s">
        <v>758</v>
      </c>
      <c r="K42" s="5">
        <v>45617</v>
      </c>
      <c r="L42" s="1" t="str">
        <f ca="1">IFERROR(IF(Vi_SIM_Mobile[[#This Row],[Warranty Date]]&lt;TODAY(), "Out of Warranty", IF(Vi_SIM_Mobile[[#This Row],[Warranty Date]]-TODAY()&lt;=30, "Expiring Soon", "In Warranty")),"-")</f>
        <v>Out of Warranty</v>
      </c>
      <c r="M42" s="5">
        <f>IFERROR(IF(Vi_SIM_Mobile[[#This Row],[Purchase Date]]="","NA",EDATE(Vi_SIM_Mobile[[#This Row],[Purchase Date]],12)),"NA")</f>
        <v>45982</v>
      </c>
      <c r="O42" s="6"/>
      <c r="P42" s="6"/>
      <c r="Q42" s="6"/>
      <c r="S42" s="6" t="s">
        <v>711</v>
      </c>
      <c r="T42" s="6"/>
      <c r="U42" s="1" t="s">
        <v>635</v>
      </c>
      <c r="V42" s="18"/>
    </row>
    <row r="43" spans="1:24" ht="20.100000000000001" customHeight="1" x14ac:dyDescent="0.25">
      <c r="A43" s="1">
        <f>ROW()-ROW(Vi_SIM_Mobile[[#Headers],[Sr. No.]])</f>
        <v>42</v>
      </c>
      <c r="B43" s="1">
        <v>9371109144</v>
      </c>
      <c r="C43" s="8">
        <v>0</v>
      </c>
      <c r="D43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43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43" s="1" t="s">
        <v>745</v>
      </c>
      <c r="I43" s="1" t="s">
        <v>903</v>
      </c>
      <c r="J43" s="1" t="s">
        <v>758</v>
      </c>
      <c r="K43" s="5" t="s">
        <v>637</v>
      </c>
      <c r="L43" s="1" t="str">
        <f ca="1">IFERROR(IF(Vi_SIM_Mobile[[#This Row],[Warranty Date]]&lt;TODAY(), "Out of Warranty", IF(Vi_SIM_Mobile[[#This Row],[Warranty Date]]-TODAY()&lt;=30, "Expiring Soon", "In Warranty")),"-")</f>
        <v>-</v>
      </c>
      <c r="M43" s="5" t="str">
        <f>IFERROR(IF(Vi_SIM_Mobile[[#This Row],[Purchase Date]]="","NA",EDATE(Vi_SIM_Mobile[[#This Row],[Purchase Date]],12)),"NA")</f>
        <v>NA</v>
      </c>
      <c r="O43" s="6"/>
      <c r="P43" s="6"/>
      <c r="Q43" s="6"/>
      <c r="S43" s="6" t="s">
        <v>712</v>
      </c>
      <c r="T43" s="6"/>
      <c r="U43" s="1" t="s">
        <v>635</v>
      </c>
      <c r="V43" s="18"/>
    </row>
    <row r="44" spans="1:24" ht="20.100000000000001" customHeight="1" x14ac:dyDescent="0.25">
      <c r="A44" s="1">
        <f>ROW()-ROW(Vi_SIM_Mobile[[#Headers],[Sr. No.]])</f>
        <v>43</v>
      </c>
      <c r="B44" s="1">
        <v>9371109145</v>
      </c>
      <c r="C44" s="8">
        <v>0</v>
      </c>
      <c r="D44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44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44" s="1" t="s">
        <v>746</v>
      </c>
      <c r="I44" s="1" t="s">
        <v>904</v>
      </c>
      <c r="J44" s="1" t="s">
        <v>762</v>
      </c>
      <c r="K44" s="5" t="s">
        <v>637</v>
      </c>
      <c r="L44" s="1" t="str">
        <f ca="1">IFERROR(IF(Vi_SIM_Mobile[[#This Row],[Warranty Date]]&lt;TODAY(), "Out of Warranty", IF(Vi_SIM_Mobile[[#This Row],[Warranty Date]]-TODAY()&lt;=30, "Expiring Soon", "In Warranty")),"-")</f>
        <v>-</v>
      </c>
      <c r="M44" s="5" t="str">
        <f>IFERROR(IF(Vi_SIM_Mobile[[#This Row],[Purchase Date]]="","NA",EDATE(Vi_SIM_Mobile[[#This Row],[Purchase Date]],12)),"NA")</f>
        <v>NA</v>
      </c>
      <c r="O44" s="6"/>
      <c r="P44" s="6"/>
      <c r="Q44" s="6"/>
      <c r="S44" s="6" t="s">
        <v>713</v>
      </c>
      <c r="T44" s="6"/>
      <c r="U44" s="1" t="s">
        <v>635</v>
      </c>
      <c r="V44" s="18"/>
    </row>
    <row r="45" spans="1:24" ht="20.100000000000001" customHeight="1" x14ac:dyDescent="0.25">
      <c r="A45" s="1">
        <f>ROW()-ROW(Vi_SIM_Mobile[[#Headers],[Sr. No.]])</f>
        <v>44</v>
      </c>
      <c r="B45" s="1">
        <v>9371109146</v>
      </c>
      <c r="C45" s="8">
        <v>365</v>
      </c>
      <c r="D45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Vikas Kashinath Kale</v>
      </c>
      <c r="E45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Environment</v>
      </c>
      <c r="F45" s="1" t="s">
        <v>747</v>
      </c>
      <c r="I45" s="1" t="s">
        <v>903</v>
      </c>
      <c r="J45" s="1" t="s">
        <v>755</v>
      </c>
      <c r="K45" s="5">
        <v>45882</v>
      </c>
      <c r="L45" s="1" t="str">
        <f ca="1">IFERROR(IF(Vi_SIM_Mobile[[#This Row],[Warranty Date]]&lt;TODAY(), "Out of Warranty", IF(Vi_SIM_Mobile[[#This Row],[Warranty Date]]-TODAY()&lt;=30, "Expiring Soon", "In Warranty")),"-")</f>
        <v>Out of Warranty</v>
      </c>
      <c r="M45" s="5">
        <f>IFERROR(IF(Vi_SIM_Mobile[[#This Row],[Purchase Date]]="","NA",EDATE(Vi_SIM_Mobile[[#This Row],[Purchase Date]],12)),"NA")</f>
        <v>46247</v>
      </c>
      <c r="N45" s="1" t="s">
        <v>638</v>
      </c>
      <c r="O45" s="6" t="s">
        <v>671</v>
      </c>
      <c r="P45" s="6" t="s">
        <v>672</v>
      </c>
      <c r="Q45" s="6" t="s">
        <v>673</v>
      </c>
      <c r="R45" s="1" t="s">
        <v>18</v>
      </c>
      <c r="S45" s="6" t="s">
        <v>714</v>
      </c>
      <c r="T45" s="6"/>
      <c r="U45" s="1" t="s">
        <v>635</v>
      </c>
      <c r="V45" s="18"/>
    </row>
    <row r="46" spans="1:24" ht="20.100000000000001" customHeight="1" x14ac:dyDescent="0.25">
      <c r="A46" s="1">
        <f>ROW()-ROW(Vi_SIM_Mobile[[#Headers],[Sr. No.]])</f>
        <v>45</v>
      </c>
      <c r="B46" s="1">
        <v>9371109147</v>
      </c>
      <c r="C46" s="8">
        <v>365</v>
      </c>
      <c r="D46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Vikas Kashinath Kale</v>
      </c>
      <c r="E46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Environment</v>
      </c>
      <c r="F46" s="1" t="s">
        <v>765</v>
      </c>
      <c r="G46" s="1" t="s">
        <v>634</v>
      </c>
      <c r="H46" s="1" t="s">
        <v>634</v>
      </c>
      <c r="I46" s="1" t="s">
        <v>903</v>
      </c>
      <c r="J46" s="1" t="s">
        <v>755</v>
      </c>
      <c r="K46" s="5">
        <v>45882</v>
      </c>
      <c r="L46" s="1" t="str">
        <f ca="1">IFERROR(IF(Vi_SIM_Mobile[[#This Row],[Warranty Date]]&lt;TODAY(), "Out of Warranty", IF(Vi_SIM_Mobile[[#This Row],[Warranty Date]]-TODAY()&lt;=30, "Expiring Soon", "In Warranty")),"-")</f>
        <v>Out of Warranty</v>
      </c>
      <c r="M46" s="5">
        <f>IFERROR(IF(Vi_SIM_Mobile[[#This Row],[Purchase Date]]="","NA",EDATE(Vi_SIM_Mobile[[#This Row],[Purchase Date]],12)),"NA")</f>
        <v>46247</v>
      </c>
      <c r="N46" s="1" t="s">
        <v>638</v>
      </c>
      <c r="O46" s="6" t="s">
        <v>674</v>
      </c>
      <c r="P46" s="6" t="s">
        <v>675</v>
      </c>
      <c r="Q46" s="6" t="s">
        <v>676</v>
      </c>
      <c r="R46" s="1" t="s">
        <v>18</v>
      </c>
      <c r="S46" s="6" t="s">
        <v>715</v>
      </c>
      <c r="T46" s="6"/>
      <c r="U46" s="1" t="s">
        <v>635</v>
      </c>
      <c r="V46" s="18"/>
    </row>
    <row r="47" spans="1:24" ht="20.100000000000001" customHeight="1" x14ac:dyDescent="0.25">
      <c r="A47" s="1">
        <f>ROW()-ROW(Vi_SIM_Mobile[[#Headers],[Sr. No.]])</f>
        <v>46</v>
      </c>
      <c r="B47" s="1">
        <v>9371109148</v>
      </c>
      <c r="C47" s="8">
        <v>383</v>
      </c>
      <c r="D47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Siddeshwar Mahadev More</v>
      </c>
      <c r="E47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Utility</v>
      </c>
      <c r="F47" s="1" t="s">
        <v>884</v>
      </c>
      <c r="I47" s="1" t="s">
        <v>903</v>
      </c>
      <c r="J47" s="1" t="s">
        <v>755</v>
      </c>
      <c r="K47" s="5">
        <v>46071</v>
      </c>
      <c r="L47" s="1" t="str">
        <f ca="1">IFERROR(IF(Vi_SIM_Mobile[[#This Row],[Warranty Date]]&lt;TODAY(), "Out of Warranty", IF(Vi_SIM_Mobile[[#This Row],[Warranty Date]]-TODAY()&lt;=30, "Expiring Soon", "In Warranty")),"-")</f>
        <v>In Warranty</v>
      </c>
      <c r="M47" s="5">
        <f>IFERROR(IF(Vi_SIM_Mobile[[#This Row],[Purchase Date]]="","NA",EDATE(Vi_SIM_Mobile[[#This Row],[Purchase Date]],12)),"NA")</f>
        <v>46436</v>
      </c>
      <c r="N47" s="1" t="s">
        <v>638</v>
      </c>
      <c r="O47" s="6" t="s">
        <v>880</v>
      </c>
      <c r="P47" s="6" t="s">
        <v>881</v>
      </c>
      <c r="Q47" s="6" t="s">
        <v>882</v>
      </c>
      <c r="R47" s="1" t="s">
        <v>18</v>
      </c>
      <c r="S47" s="6" t="s">
        <v>716</v>
      </c>
      <c r="T47" s="6"/>
      <c r="U47" s="1" t="s">
        <v>635</v>
      </c>
      <c r="V47" s="18" t="s">
        <v>883</v>
      </c>
    </row>
    <row r="48" spans="1:24" ht="20.100000000000001" customHeight="1" x14ac:dyDescent="0.25">
      <c r="A48" s="1">
        <f>ROW()-ROW(Vi_SIM_Mobile[[#Headers],[Sr. No.]])</f>
        <v>47</v>
      </c>
      <c r="B48" s="1">
        <v>9371109149</v>
      </c>
      <c r="C48" s="8">
        <v>245</v>
      </c>
      <c r="D48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Balbhim Dadarao Kale</v>
      </c>
      <c r="E48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Maintenance</v>
      </c>
      <c r="F48" s="1" t="s">
        <v>748</v>
      </c>
      <c r="I48" s="1" t="s">
        <v>903</v>
      </c>
      <c r="J48" s="1" t="s">
        <v>755</v>
      </c>
      <c r="K48" s="5">
        <v>46252</v>
      </c>
      <c r="L48" s="1" t="str">
        <f ca="1">IFERROR(IF(Vi_SIM_Mobile[[#This Row],[Warranty Date]]&lt;TODAY(), "Out of Warranty", IF(Vi_SIM_Mobile[[#This Row],[Warranty Date]]-TODAY()&lt;=30, "Expiring Soon", "In Warranty")),"-")</f>
        <v>In Warranty</v>
      </c>
      <c r="M48" s="5">
        <f>IFERROR(IF(Vi_SIM_Mobile[[#This Row],[Purchase Date]]="","NA",EDATE(Vi_SIM_Mobile[[#This Row],[Purchase Date]],12)),"NA")</f>
        <v>46617</v>
      </c>
      <c r="N48" s="1" t="s">
        <v>638</v>
      </c>
      <c r="O48" s="6" t="s">
        <v>961</v>
      </c>
      <c r="P48" s="6" t="s">
        <v>962</v>
      </c>
      <c r="Q48" s="6" t="s">
        <v>963</v>
      </c>
      <c r="R48" s="1" t="s">
        <v>18</v>
      </c>
      <c r="S48" s="6" t="s">
        <v>717</v>
      </c>
      <c r="T48" s="6"/>
      <c r="U48" s="1" t="s">
        <v>635</v>
      </c>
      <c r="V48" s="18" t="s">
        <v>960</v>
      </c>
      <c r="X48" s="19">
        <v>46223</v>
      </c>
    </row>
    <row r="49" spans="1:22" ht="20.100000000000001" customHeight="1" x14ac:dyDescent="0.25">
      <c r="A49" s="1">
        <f>ROW()-ROW(Vi_SIM_Mobile[[#Headers],[Sr. No.]])</f>
        <v>48</v>
      </c>
      <c r="B49" s="1">
        <v>9371109150</v>
      </c>
      <c r="C49" s="8">
        <v>0</v>
      </c>
      <c r="D49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49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49" s="1" t="s">
        <v>749</v>
      </c>
      <c r="I49" s="1" t="s">
        <v>903</v>
      </c>
      <c r="J49" s="1" t="s">
        <v>758</v>
      </c>
      <c r="K49" s="5" t="s">
        <v>637</v>
      </c>
      <c r="L49" s="1" t="str">
        <f ca="1">IFERROR(IF(Vi_SIM_Mobile[[#This Row],[Warranty Date]]&lt;TODAY(), "Out of Warranty", IF(Vi_SIM_Mobile[[#This Row],[Warranty Date]]-TODAY()&lt;=30, "Expiring Soon", "In Warranty")),"-")</f>
        <v>-</v>
      </c>
      <c r="M49" s="5" t="str">
        <f>IFERROR(IF(Vi_SIM_Mobile[[#This Row],[Purchase Date]]="","NA",EDATE(Vi_SIM_Mobile[[#This Row],[Purchase Date]],12)),"NA")</f>
        <v>NA</v>
      </c>
      <c r="O49" s="6"/>
      <c r="P49" s="6"/>
      <c r="Q49" s="6"/>
      <c r="S49" s="6" t="s">
        <v>718</v>
      </c>
      <c r="T49" s="6"/>
      <c r="U49" s="1" t="s">
        <v>635</v>
      </c>
      <c r="V49" s="18"/>
    </row>
    <row r="50" spans="1:22" ht="31.5" x14ac:dyDescent="0.25">
      <c r="A50" s="1">
        <f>ROW()-ROW(Vi_SIM_Mobile[[#Headers],[Sr. No.]])</f>
        <v>49</v>
      </c>
      <c r="B50" s="1">
        <v>9371109152</v>
      </c>
      <c r="C50" s="8">
        <v>616</v>
      </c>
      <c r="D50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Satishkumar Sidramappa Devdurgkar</v>
      </c>
      <c r="E50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Instrument</v>
      </c>
      <c r="F50" s="1" t="s">
        <v>750</v>
      </c>
      <c r="G50" s="1" t="s">
        <v>634</v>
      </c>
      <c r="H50" s="1" t="s">
        <v>634</v>
      </c>
      <c r="I50" s="1" t="s">
        <v>903</v>
      </c>
      <c r="J50" s="1" t="s">
        <v>755</v>
      </c>
      <c r="K50" s="5">
        <v>46219</v>
      </c>
      <c r="L50" s="1" t="str">
        <f ca="1">IFERROR(IF(Vi_SIM_Mobile[[#This Row],[Warranty Date]]&lt;TODAY(), "Out of Warranty", IF(Vi_SIM_Mobile[[#This Row],[Warranty Date]]-TODAY()&lt;=30, "Expiring Soon", "In Warranty")),"-")</f>
        <v>In Warranty</v>
      </c>
      <c r="M50" s="5">
        <f>IFERROR(IF(Vi_SIM_Mobile[[#This Row],[Purchase Date]]="","NA",EDATE(Vi_SIM_Mobile[[#This Row],[Purchase Date]],12)),"NA")</f>
        <v>46584</v>
      </c>
      <c r="N50" s="1" t="s">
        <v>868</v>
      </c>
      <c r="O50" s="6" t="s">
        <v>949</v>
      </c>
      <c r="P50" s="6" t="s">
        <v>950</v>
      </c>
      <c r="Q50" s="6" t="s">
        <v>951</v>
      </c>
      <c r="R50" s="1" t="s">
        <v>18</v>
      </c>
      <c r="S50" s="6" t="s">
        <v>719</v>
      </c>
      <c r="T50" s="6"/>
      <c r="U50" s="1" t="s">
        <v>635</v>
      </c>
      <c r="V50" s="18" t="s">
        <v>952</v>
      </c>
    </row>
    <row r="51" spans="1:22" ht="20.100000000000001" customHeight="1" x14ac:dyDescent="0.25">
      <c r="A51" s="1">
        <f>ROW()-ROW(Vi_SIM_Mobile[[#Headers],[Sr. No.]])</f>
        <v>50</v>
      </c>
      <c r="B51" s="1">
        <v>9371109153</v>
      </c>
      <c r="C51" s="8">
        <v>0</v>
      </c>
      <c r="D51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51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51" s="1" t="s">
        <v>751</v>
      </c>
      <c r="I51" s="1" t="s">
        <v>903</v>
      </c>
      <c r="J51" s="1" t="s">
        <v>759</v>
      </c>
      <c r="K51" s="5" t="s">
        <v>637</v>
      </c>
      <c r="L51" s="1" t="str">
        <f ca="1">IFERROR(IF(Vi_SIM_Mobile[[#This Row],[Warranty Date]]&lt;TODAY(), "Out of Warranty", IF(Vi_SIM_Mobile[[#This Row],[Warranty Date]]-TODAY()&lt;=30, "Expiring Soon", "In Warranty")),"-")</f>
        <v>-</v>
      </c>
      <c r="M51" s="5" t="str">
        <f>IFERROR(IF(Vi_SIM_Mobile[[#This Row],[Purchase Date]]="","NA",EDATE(Vi_SIM_Mobile[[#This Row],[Purchase Date]],12)),"NA")</f>
        <v>NA</v>
      </c>
      <c r="O51" s="6"/>
      <c r="P51" s="6"/>
      <c r="Q51" s="6"/>
      <c r="S51" s="6" t="s">
        <v>720</v>
      </c>
      <c r="T51" s="6"/>
      <c r="U51" s="1" t="s">
        <v>635</v>
      </c>
      <c r="V51" s="18"/>
    </row>
    <row r="52" spans="1:22" ht="20.100000000000001" customHeight="1" x14ac:dyDescent="0.25">
      <c r="A52" s="1">
        <f>ROW()-ROW(Vi_SIM_Mobile[[#Headers],[Sr. No.]])</f>
        <v>51</v>
      </c>
      <c r="B52" s="1">
        <v>9371109154</v>
      </c>
      <c r="C52" s="8">
        <v>360</v>
      </c>
      <c r="D52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Navanath Arjun Shep</v>
      </c>
      <c r="E52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Instrument</v>
      </c>
      <c r="J52" s="1" t="s">
        <v>634</v>
      </c>
      <c r="K52" s="5" t="s">
        <v>637</v>
      </c>
      <c r="L52" s="1" t="str">
        <f ca="1">IFERROR(IF(Vi_SIM_Mobile[[#This Row],[Warranty Date]]&lt;TODAY(), "Out of Warranty", IF(Vi_SIM_Mobile[[#This Row],[Warranty Date]]-TODAY()&lt;=30, "Expiring Soon", "In Warranty")),"-")</f>
        <v>-</v>
      </c>
      <c r="M52" s="5" t="str">
        <f>IFERROR(IF(Vi_SIM_Mobile[[#This Row],[Purchase Date]]="","NA",EDATE(Vi_SIM_Mobile[[#This Row],[Purchase Date]],12)),"NA")</f>
        <v>NA</v>
      </c>
      <c r="O52" s="6"/>
      <c r="P52" s="6"/>
      <c r="Q52" s="6"/>
      <c r="S52" s="6" t="s">
        <v>721</v>
      </c>
      <c r="T52" s="6"/>
      <c r="U52" s="1" t="s">
        <v>635</v>
      </c>
      <c r="V52" s="18"/>
    </row>
    <row r="53" spans="1:22" ht="20.100000000000001" customHeight="1" x14ac:dyDescent="0.25">
      <c r="A53" s="1">
        <f>ROW()-ROW(Vi_SIM_Mobile[[#Headers],[Sr. No.]])</f>
        <v>52</v>
      </c>
      <c r="B53" s="1">
        <v>9371109156</v>
      </c>
      <c r="C53" s="8">
        <v>0</v>
      </c>
      <c r="D53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E53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-</v>
      </c>
      <c r="F53" s="1" t="s">
        <v>752</v>
      </c>
      <c r="I53" s="1" t="s">
        <v>903</v>
      </c>
      <c r="J53" s="1" t="s">
        <v>758</v>
      </c>
      <c r="K53" s="5" t="s">
        <v>637</v>
      </c>
      <c r="L53" s="1" t="str">
        <f ca="1">IFERROR(IF(Vi_SIM_Mobile[[#This Row],[Warranty Date]]&lt;TODAY(), "Out of Warranty", IF(Vi_SIM_Mobile[[#This Row],[Warranty Date]]-TODAY()&lt;=30, "Expiring Soon", "In Warranty")),"-")</f>
        <v>-</v>
      </c>
      <c r="M53" s="5" t="str">
        <f>IFERROR(IF(Vi_SIM_Mobile[[#This Row],[Purchase Date]]="","NA",EDATE(Vi_SIM_Mobile[[#This Row],[Purchase Date]],12)),"NA")</f>
        <v>NA</v>
      </c>
      <c r="O53" s="6"/>
      <c r="P53" s="6"/>
      <c r="Q53" s="6"/>
      <c r="S53" s="6" t="s">
        <v>722</v>
      </c>
      <c r="T53" s="6"/>
      <c r="U53" s="1" t="s">
        <v>635</v>
      </c>
      <c r="V53" s="18"/>
    </row>
    <row r="54" spans="1:22" ht="20.100000000000001" customHeight="1" x14ac:dyDescent="0.25">
      <c r="A54" s="1">
        <f>ROW()-ROW(Vi_SIM_Mobile[[#Headers],[Sr. No.]])</f>
        <v>53</v>
      </c>
      <c r="B54" s="1">
        <v>9371109180</v>
      </c>
      <c r="C54" s="8">
        <v>659</v>
      </c>
      <c r="D54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Shaktiprasad Nagnath Jagtap</v>
      </c>
      <c r="E54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IT</v>
      </c>
      <c r="G54" s="1" t="s">
        <v>634</v>
      </c>
      <c r="H54" s="1" t="s">
        <v>634</v>
      </c>
      <c r="J54" s="1" t="s">
        <v>898</v>
      </c>
      <c r="K54" s="5" t="s">
        <v>634</v>
      </c>
      <c r="L54" s="1" t="str">
        <f ca="1">IFERROR(IF(Vi_SIM_Mobile[[#This Row],[Warranty Date]]&lt;TODAY(), "Out of Warranty", IF(Vi_SIM_Mobile[[#This Row],[Warranty Date]]-TODAY()&lt;=30, "Expiring Soon", "In Warranty")),"-")</f>
        <v>-</v>
      </c>
      <c r="M54" s="5" t="str">
        <f>IFERROR(IF(Vi_SIM_Mobile[[#This Row],[Purchase Date]]="","NA",EDATE(Vi_SIM_Mobile[[#This Row],[Purchase Date]],12)),"NA")</f>
        <v>NA</v>
      </c>
      <c r="O54" s="6"/>
      <c r="P54" s="6"/>
      <c r="Q54" s="6"/>
      <c r="R54" s="1" t="s">
        <v>18</v>
      </c>
      <c r="S54" s="6" t="s">
        <v>723</v>
      </c>
      <c r="T54" s="6"/>
      <c r="U54" s="1" t="s">
        <v>635</v>
      </c>
      <c r="V54" s="18" t="s">
        <v>803</v>
      </c>
    </row>
    <row r="55" spans="1:22" ht="20.100000000000001" customHeight="1" x14ac:dyDescent="0.25">
      <c r="A55" s="1">
        <f>ROW()-ROW(Vi_SIM_Mobile[[#Headers],[Sr. No.]])</f>
        <v>54</v>
      </c>
      <c r="B55" s="1">
        <v>9371109182</v>
      </c>
      <c r="C55" s="8">
        <v>607</v>
      </c>
      <c r="D55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Sachin Shivasharan Chhure</v>
      </c>
      <c r="E55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Instrument</v>
      </c>
      <c r="G55" s="1" t="s">
        <v>634</v>
      </c>
      <c r="H55" s="1" t="s">
        <v>634</v>
      </c>
      <c r="I55" s="1" t="s">
        <v>903</v>
      </c>
      <c r="J55" s="1" t="s">
        <v>755</v>
      </c>
      <c r="K55" s="5">
        <v>45757</v>
      </c>
      <c r="L55" s="1" t="str">
        <f ca="1">IFERROR(IF(Vi_SIM_Mobile[[#This Row],[Warranty Date]]&lt;TODAY(), "Out of Warranty", IF(Vi_SIM_Mobile[[#This Row],[Warranty Date]]-TODAY()&lt;=30, "Expiring Soon", "In Warranty")),"-")</f>
        <v>Out of Warranty</v>
      </c>
      <c r="M55" s="5">
        <f>IFERROR(IF(Vi_SIM_Mobile[[#This Row],[Purchase Date]]="","NA",EDATE(Vi_SIM_Mobile[[#This Row],[Purchase Date]],12)),"NA")</f>
        <v>46122</v>
      </c>
      <c r="N55" s="1" t="s">
        <v>638</v>
      </c>
      <c r="O55" s="6" t="s">
        <v>677</v>
      </c>
      <c r="P55" s="6" t="s">
        <v>678</v>
      </c>
      <c r="Q55" s="6" t="s">
        <v>679</v>
      </c>
      <c r="R55" s="1" t="s">
        <v>18</v>
      </c>
      <c r="S55" s="6" t="s">
        <v>724</v>
      </c>
      <c r="T55" s="6"/>
      <c r="U55" s="1" t="s">
        <v>635</v>
      </c>
      <c r="V55" s="18"/>
    </row>
    <row r="56" spans="1:22" ht="20.100000000000001" customHeight="1" x14ac:dyDescent="0.25">
      <c r="A56" s="1">
        <f>ROW()-ROW(Vi_SIM_Mobile[[#Headers],[Sr. No.]])</f>
        <v>55</v>
      </c>
      <c r="B56" s="1">
        <v>9371109183</v>
      </c>
      <c r="C56" s="8">
        <v>565</v>
      </c>
      <c r="D56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Shrivallabh Vilas Gosavi</v>
      </c>
      <c r="E56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Environment</v>
      </c>
      <c r="G56" s="1" t="s">
        <v>634</v>
      </c>
      <c r="H56" s="1" t="s">
        <v>634</v>
      </c>
      <c r="I56" s="1" t="s">
        <v>903</v>
      </c>
      <c r="J56" s="1" t="s">
        <v>755</v>
      </c>
      <c r="K56" s="5">
        <v>45757</v>
      </c>
      <c r="L56" s="1" t="str">
        <f ca="1">IFERROR(IF(Vi_SIM_Mobile[[#This Row],[Warranty Date]]&lt;TODAY(), "Out of Warranty", IF(Vi_SIM_Mobile[[#This Row],[Warranty Date]]-TODAY()&lt;=30, "Expiring Soon", "In Warranty")),"-")</f>
        <v>Out of Warranty</v>
      </c>
      <c r="M56" s="5">
        <f>IFERROR(IF(Vi_SIM_Mobile[[#This Row],[Purchase Date]]="","NA",EDATE(Vi_SIM_Mobile[[#This Row],[Purchase Date]],12)),"NA")</f>
        <v>46122</v>
      </c>
      <c r="N56" s="1" t="s">
        <v>638</v>
      </c>
      <c r="O56" s="6" t="s">
        <v>680</v>
      </c>
      <c r="P56" s="6" t="s">
        <v>681</v>
      </c>
      <c r="Q56" s="6"/>
      <c r="R56" s="1" t="s">
        <v>18</v>
      </c>
      <c r="S56" s="6" t="s">
        <v>725</v>
      </c>
      <c r="T56" s="6"/>
      <c r="U56" s="1" t="s">
        <v>635</v>
      </c>
      <c r="V56" s="18"/>
    </row>
    <row r="57" spans="1:22" ht="20.100000000000001" customHeight="1" x14ac:dyDescent="0.25">
      <c r="A57" s="1">
        <f>ROW()-ROW(Vi_SIM_Mobile[[#Headers],[Sr. No.]])</f>
        <v>56</v>
      </c>
      <c r="B57" s="1">
        <v>9371109184</v>
      </c>
      <c r="C57" s="8">
        <v>30</v>
      </c>
      <c r="D57" s="1" t="str">
        <f>IF(Vi_SIM_Mobile[[#This Row],[Employee Code]]=0,"-",IFERROR(IF(INDEX('EMP Info'!$B:$B, MATCH(TEXT(Vi_SIM_Mobile[[#This Row],[Employee Code]],"00000"), 'EMP Info'!$A:$A, 0))=0,"",INDEX('EMP Info'!$B:$B,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Ravindra Vitthal Kashid</v>
      </c>
      <c r="E57" s="1" t="str">
        <f>IF(Vi_SIM_Mobile[[#This Row],[Employee Code]]=0,"-",IFERROR(IF(INDEX('EMP Info'!$C:$C, MATCH(TEXT(Vi_SIM_Mobile[[#This Row],[Employee Code]],"00000"), 'EMP Info'!$A:$A, 0))=0,"",INDEX('EMP Info'!$C:$C, MATCH(TEXT(Vi_SIM_Mobile[[#This Row],[Employee Code]],"00000"), 'EMP Info'!$A:$A, 0))),IFERROR(VLOOKUP(TEXT(Vi_SIM_Mobile[[#This Row],[Employee Code]],"00000"), 'EMP Info'!$A:$D, 2, FALSE) &amp; " (" &amp; VLOOKUP(TEXT(Vi_SIM_Mobile[[#This Row],[Employee Code]],"00000"), 'EMP Info'!$A:$D,4, FALSE) &amp; ")","")))</f>
        <v>Electrical</v>
      </c>
      <c r="F57" s="1" t="s">
        <v>728</v>
      </c>
      <c r="G57" s="1" t="s">
        <v>634</v>
      </c>
      <c r="H57" s="1" t="s">
        <v>634</v>
      </c>
      <c r="I57" s="1" t="s">
        <v>903</v>
      </c>
      <c r="J57" s="1" t="s">
        <v>755</v>
      </c>
      <c r="K57" s="5">
        <v>46221</v>
      </c>
      <c r="L57" s="1" t="str">
        <f ca="1">IFERROR(IF(Vi_SIM_Mobile[[#This Row],[Warranty Date]]&lt;TODAY(), "Out of Warranty", IF(Vi_SIM_Mobile[[#This Row],[Warranty Date]]-TODAY()&lt;=30, "Expiring Soon", "In Warranty")),"-")</f>
        <v>In Warranty</v>
      </c>
      <c r="M57" s="5">
        <f>IFERROR(IF(Vi_SIM_Mobile[[#This Row],[Purchase Date]]="","NA",EDATE(Vi_SIM_Mobile[[#This Row],[Purchase Date]],12)),"NA")</f>
        <v>46586</v>
      </c>
      <c r="N57" s="1" t="s">
        <v>868</v>
      </c>
      <c r="O57" s="6" t="s">
        <v>953</v>
      </c>
      <c r="P57" s="6" t="s">
        <v>954</v>
      </c>
      <c r="Q57" s="6" t="s">
        <v>955</v>
      </c>
      <c r="R57" s="1" t="s">
        <v>18</v>
      </c>
      <c r="S57" s="6" t="s">
        <v>726</v>
      </c>
      <c r="T57" s="6"/>
      <c r="U57" s="1" t="s">
        <v>635</v>
      </c>
      <c r="V57" s="18"/>
    </row>
  </sheetData>
  <conditionalFormatting sqref="A2:V57">
    <cfRule type="expression" dxfId="30" priority="6">
      <formula>$U2="Deactivated"</formula>
    </cfRule>
    <cfRule type="expression" dxfId="29" priority="7">
      <formula>AND($U2&lt;&gt;"Activated",$U2&lt;&gt;"Deactivated",$U2&lt;&gt;"Inactive")=TRUE</formula>
    </cfRule>
    <cfRule type="expression" dxfId="28" priority="8">
      <formula>$U2="Inactive"</formula>
    </cfRule>
  </conditionalFormatting>
  <conditionalFormatting sqref="C2:C57">
    <cfRule type="cellIs" dxfId="27" priority="1" operator="equal">
      <formula>0</formula>
    </cfRule>
  </conditionalFormatting>
  <conditionalFormatting sqref="M2:M57">
    <cfRule type="expression" dxfId="26" priority="2">
      <formula>$M2-TODAY()&gt;=30</formula>
    </cfRule>
    <cfRule type="expression" dxfId="25" priority="3">
      <formula>$M2-TODAY()&lt;=29</formula>
    </cfRule>
    <cfRule type="expression" dxfId="24" priority="4">
      <formula>$M2-TODAY()&lt;=14</formula>
    </cfRule>
    <cfRule type="expression" dxfId="23" priority="5">
      <formula>$M2-TODAY()&lt;=1</formula>
    </cfRule>
  </conditionalFormatting>
  <dataValidations disablePrompts="1" count="3">
    <dataValidation type="list" allowBlank="1" showInputMessage="1" promptTitle="Enter Mobile Expiry Date in" prompt="Enter Mobile Expiry Date in_x000a_dd-MM-YYYY format._x000a__x000a_Select NA if it's Not Applicable" sqref="M2:M57" xr:uid="{0BBD8984-7231-4DDB-95FC-3152A48C4D34}">
      <formula1>"NA"</formula1>
    </dataValidation>
    <dataValidation type="list" allowBlank="1" showInputMessage="1" sqref="R2:R57" xr:uid="{C71887F2-C271-4D81-8354-03D207286183}">
      <formula1>INDIRECT("SIMTypes01[SIM Type]")</formula1>
    </dataValidation>
    <dataValidation type="list" allowBlank="1" showInputMessage="1" sqref="U2:U57" xr:uid="{69577DCA-AB0A-4C83-928E-A04F467AC9B7}">
      <formula1>"Activated,Deactivated,Inactive"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3943-B3C7-473B-AADD-CAF0F5DC852E}">
  <dimension ref="A1:X31"/>
  <sheetViews>
    <sheetView tabSelected="1" zoomScaleNormal="100" workbookViewId="0">
      <pane xSplit="4" ySplit="1" topLeftCell="U2" activePane="bottomRight" state="frozen"/>
      <selection pane="topRight" activeCell="E1" sqref="E1"/>
      <selection pane="bottomLeft" activeCell="A2" sqref="A2"/>
      <selection pane="bottomRight" activeCell="V20" sqref="V20"/>
    </sheetView>
  </sheetViews>
  <sheetFormatPr defaultRowHeight="20.100000000000001" customHeight="1" x14ac:dyDescent="0.25"/>
  <cols>
    <col min="1" max="1" width="12" style="1" bestFit="1" customWidth="1"/>
    <col min="2" max="2" width="21.125" style="1" bestFit="1" customWidth="1"/>
    <col min="3" max="3" width="21.125" style="1" customWidth="1"/>
    <col min="4" max="4" width="34.75" style="1" bestFit="1" customWidth="1"/>
    <col min="5" max="5" width="21.5" style="1" bestFit="1" customWidth="1"/>
    <col min="6" max="6" width="41.25" style="1" bestFit="1" customWidth="1"/>
    <col min="7" max="7" width="26.875" style="1" bestFit="1" customWidth="1"/>
    <col min="8" max="8" width="25.75" style="1" bestFit="1" customWidth="1"/>
    <col min="9" max="9" width="25.75" style="1" customWidth="1"/>
    <col min="10" max="10" width="28.25" style="1" bestFit="1" customWidth="1"/>
    <col min="11" max="11" width="20" style="1" bestFit="1" customWidth="1"/>
    <col min="12" max="12" width="17.625" style="1" bestFit="1" customWidth="1"/>
    <col min="13" max="13" width="20.125" style="1" bestFit="1" customWidth="1"/>
    <col min="14" max="14" width="25.875" style="1" bestFit="1" customWidth="1"/>
    <col min="15" max="16" width="25.625" style="1" customWidth="1"/>
    <col min="17" max="17" width="35.625" style="1" customWidth="1"/>
    <col min="18" max="18" width="14.875" style="1" bestFit="1" customWidth="1"/>
    <col min="19" max="19" width="26.625" style="1" bestFit="1" customWidth="1"/>
    <col min="20" max="20" width="25.625" style="1" customWidth="1"/>
    <col min="21" max="21" width="28.625" style="1" bestFit="1" customWidth="1"/>
    <col min="22" max="22" width="93.625" style="1" bestFit="1" customWidth="1"/>
    <col min="23" max="23" width="9" style="3"/>
    <col min="24" max="24" width="12.625" style="1" bestFit="1" customWidth="1"/>
    <col min="25" max="16384" width="9" style="1"/>
  </cols>
  <sheetData>
    <row r="1" spans="1:24" ht="20.100000000000001" customHeight="1" x14ac:dyDescent="0.25">
      <c r="A1" s="2" t="s">
        <v>34</v>
      </c>
      <c r="B1" s="2" t="s">
        <v>0</v>
      </c>
      <c r="C1" s="2" t="s">
        <v>35</v>
      </c>
      <c r="D1" s="2" t="s">
        <v>1</v>
      </c>
      <c r="E1" s="2" t="s">
        <v>2</v>
      </c>
      <c r="F1" s="2" t="s">
        <v>633</v>
      </c>
      <c r="G1" s="2" t="s">
        <v>3</v>
      </c>
      <c r="H1" s="2" t="s">
        <v>4</v>
      </c>
      <c r="I1" s="2" t="s">
        <v>902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727</v>
      </c>
      <c r="U1" s="2" t="s">
        <v>16</v>
      </c>
      <c r="V1" s="2" t="s">
        <v>15</v>
      </c>
      <c r="W1" s="1"/>
    </row>
    <row r="2" spans="1:24" ht="20.100000000000001" customHeight="1" x14ac:dyDescent="0.25">
      <c r="A2" s="1">
        <f>ROW()-ROW(JiO_SIM_Mobile[[#Headers],[Sr. No.]])</f>
        <v>1</v>
      </c>
      <c r="B2" s="1">
        <v>7045745507</v>
      </c>
      <c r="C2" s="8">
        <v>18</v>
      </c>
      <c r="D2" s="1" t="s">
        <v>773</v>
      </c>
      <c r="E2" s="1" t="s">
        <v>252</v>
      </c>
      <c r="F2" s="1" t="s">
        <v>634</v>
      </c>
      <c r="G2" s="1" t="s">
        <v>634</v>
      </c>
      <c r="H2" s="1" t="s">
        <v>634</v>
      </c>
      <c r="K2" s="5"/>
      <c r="L2" s="1" t="str">
        <f ca="1">IFERROR(IF(JiO_SIM_Mobile[[#This Row],[Warranty Date]]&lt;TODAY(), "Out of Warranty", IF(JiO_SIM_Mobile[[#This Row],[Warranty Date]]-TODAY()&lt;=30, "Expiring Soon", "In Warranty")),"-")</f>
        <v>-</v>
      </c>
      <c r="M2" s="5" t="str">
        <f>IFERROR(IF(JiO_SIM_Mobile[[#This Row],[Purchase Date]]="","NA",EDATE(JiO_SIM_Mobile[[#This Row],[Purchase Date]],12)),"NA")</f>
        <v>NA</v>
      </c>
      <c r="O2" s="6"/>
      <c r="P2" s="6"/>
      <c r="Q2" s="6"/>
      <c r="S2" s="6"/>
      <c r="T2" s="6"/>
      <c r="U2" s="1" t="s">
        <v>635</v>
      </c>
      <c r="W2" s="1"/>
    </row>
    <row r="3" spans="1:24" ht="20.100000000000001" customHeight="1" x14ac:dyDescent="0.25">
      <c r="A3" s="1">
        <f>ROW()-ROW(JiO_SIM_Mobile[[#Headers],[Sr. No.]])</f>
        <v>2</v>
      </c>
      <c r="B3" s="1">
        <v>8291925584</v>
      </c>
      <c r="C3" s="8">
        <v>0</v>
      </c>
      <c r="D3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-</v>
      </c>
      <c r="E3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-</v>
      </c>
      <c r="F3" s="1" t="s">
        <v>634</v>
      </c>
      <c r="G3" s="1" t="s">
        <v>366</v>
      </c>
      <c r="H3" s="1" t="s">
        <v>367</v>
      </c>
      <c r="I3" s="1" t="s">
        <v>904</v>
      </c>
      <c r="J3" s="1" t="s">
        <v>778</v>
      </c>
      <c r="K3" s="5">
        <v>45653</v>
      </c>
      <c r="L3" s="1" t="str">
        <f ca="1">IFERROR(IF(JiO_SIM_Mobile[[#This Row],[Warranty Date]]&lt;TODAY(), "Out of Warranty", IF(JiO_SIM_Mobile[[#This Row],[Warranty Date]]-TODAY()&lt;=30, "Expiring Soon", "In Warranty")),"-")</f>
        <v>Out of Warranty</v>
      </c>
      <c r="M3" s="5">
        <f>IFERROR(IF(JiO_SIM_Mobile[[#This Row],[Purchase Date]]="","NA",EDATE(JiO_SIM_Mobile[[#This Row],[Purchase Date]],12)),"NA")</f>
        <v>46018</v>
      </c>
      <c r="N3" s="1" t="s">
        <v>779</v>
      </c>
      <c r="O3" s="6" t="s">
        <v>780</v>
      </c>
      <c r="P3" s="6" t="s">
        <v>916</v>
      </c>
      <c r="Q3" s="6"/>
      <c r="R3" s="1" t="s">
        <v>18</v>
      </c>
      <c r="S3" s="6" t="s">
        <v>918</v>
      </c>
      <c r="T3" s="6"/>
      <c r="U3" s="1" t="s">
        <v>635</v>
      </c>
      <c r="V3" s="1" t="s">
        <v>917</v>
      </c>
    </row>
    <row r="4" spans="1:24" ht="20.100000000000001" customHeight="1" x14ac:dyDescent="0.25">
      <c r="A4" s="1">
        <f>ROW()-ROW(JiO_SIM_Mobile[[#Headers],[Sr. No.]])</f>
        <v>3</v>
      </c>
      <c r="B4" s="1">
        <v>8291925585</v>
      </c>
      <c r="C4" s="8">
        <v>0</v>
      </c>
      <c r="D4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-</v>
      </c>
      <c r="E4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-</v>
      </c>
      <c r="G4" s="1" t="s">
        <v>791</v>
      </c>
      <c r="K4" s="5"/>
      <c r="L4" s="1" t="str">
        <f ca="1">IFERROR(IF(JiO_SIM_Mobile[[#This Row],[Warranty Date]]&lt;TODAY(), "Out of Warranty", IF(JiO_SIM_Mobile[[#This Row],[Warranty Date]]-TODAY()&lt;=30, "Expiring Soon", "In Warranty")),"-")</f>
        <v>-</v>
      </c>
      <c r="M4" s="5" t="str">
        <f>IFERROR(IF(JiO_SIM_Mobile[[#This Row],[Purchase Date]]="","NA",EDATE(JiO_SIM_Mobile[[#This Row],[Purchase Date]],12)),"NA")</f>
        <v>NA</v>
      </c>
      <c r="O4" s="6"/>
      <c r="P4" s="6"/>
      <c r="Q4" s="6"/>
      <c r="S4" s="6"/>
      <c r="T4" s="6"/>
      <c r="U4" s="1" t="s">
        <v>772</v>
      </c>
    </row>
    <row r="5" spans="1:24" ht="20.100000000000001" customHeight="1" x14ac:dyDescent="0.25">
      <c r="A5" s="1">
        <f>ROW()-ROW(JiO_SIM_Mobile[[#Headers],[Sr. No.]])</f>
        <v>4</v>
      </c>
      <c r="B5" s="1">
        <v>8378984300</v>
      </c>
      <c r="C5" s="8">
        <v>0</v>
      </c>
      <c r="D5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-</v>
      </c>
      <c r="E5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-</v>
      </c>
      <c r="G5" s="1" t="s">
        <v>774</v>
      </c>
      <c r="H5" s="1" t="s">
        <v>52</v>
      </c>
      <c r="I5" s="1" t="s">
        <v>904</v>
      </c>
      <c r="J5" s="1" t="s">
        <v>775</v>
      </c>
      <c r="K5" s="5">
        <v>45597</v>
      </c>
      <c r="L5" s="1" t="str">
        <f ca="1">IFERROR(IF(JiO_SIM_Mobile[[#This Row],[Warranty Date]]&lt;TODAY(), "Out of Warranty", IF(JiO_SIM_Mobile[[#This Row],[Warranty Date]]-TODAY()&lt;=30, "Expiring Soon", "In Warranty")),"-")</f>
        <v>Out of Warranty</v>
      </c>
      <c r="M5" s="5">
        <f>IFERROR(IF(JiO_SIM_Mobile[[#This Row],[Purchase Date]]="","NA",EDATE(JiO_SIM_Mobile[[#This Row],[Purchase Date]],12)),"NA")</f>
        <v>45962</v>
      </c>
      <c r="O5" s="6"/>
      <c r="P5" s="6"/>
      <c r="Q5" s="6"/>
      <c r="S5" s="6" t="s">
        <v>874</v>
      </c>
      <c r="T5" s="6"/>
      <c r="U5" s="1" t="s">
        <v>635</v>
      </c>
      <c r="V5" s="1" t="s">
        <v>782</v>
      </c>
    </row>
    <row r="6" spans="1:24" ht="20.100000000000001" customHeight="1" x14ac:dyDescent="0.25">
      <c r="A6" s="1">
        <f>ROW()-ROW(JiO_SIM_Mobile[[#Headers],[Sr. No.]])</f>
        <v>5</v>
      </c>
      <c r="B6" s="1">
        <v>8378984301</v>
      </c>
      <c r="C6" s="8">
        <v>0</v>
      </c>
      <c r="D6" s="1" t="s">
        <v>776</v>
      </c>
      <c r="E6" s="1" t="s">
        <v>761</v>
      </c>
      <c r="F6" s="1" t="s">
        <v>777</v>
      </c>
      <c r="G6" s="1" t="s">
        <v>792</v>
      </c>
      <c r="H6" s="1" t="s">
        <v>71</v>
      </c>
      <c r="I6" s="1" t="s">
        <v>903</v>
      </c>
      <c r="J6" s="1" t="s">
        <v>755</v>
      </c>
      <c r="K6" s="5">
        <v>45965</v>
      </c>
      <c r="L6" s="1" t="str">
        <f ca="1">IFERROR(IF(JiO_SIM_Mobile[[#This Row],[Warranty Date]]&lt;TODAY(), "Out of Warranty", IF(JiO_SIM_Mobile[[#This Row],[Warranty Date]]-TODAY()&lt;=30, "Expiring Soon", "In Warranty")),"-")</f>
        <v>In Warranty</v>
      </c>
      <c r="M6" s="5">
        <f>IFERROR(IF(JiO_SIM_Mobile[[#This Row],[Purchase Date]]="","NA",EDATE(JiO_SIM_Mobile[[#This Row],[Purchase Date]],12)),"NA")</f>
        <v>46330</v>
      </c>
      <c r="N6" s="1" t="s">
        <v>638</v>
      </c>
      <c r="O6" s="6" t="s">
        <v>668</v>
      </c>
      <c r="P6" s="6" t="s">
        <v>669</v>
      </c>
      <c r="Q6" s="6" t="s">
        <v>670</v>
      </c>
      <c r="R6" s="1" t="s">
        <v>18</v>
      </c>
      <c r="S6" s="6" t="s">
        <v>781</v>
      </c>
      <c r="T6" s="6"/>
      <c r="U6" s="1" t="s">
        <v>635</v>
      </c>
      <c r="V6" s="1" t="s">
        <v>783</v>
      </c>
    </row>
    <row r="7" spans="1:24" ht="20.100000000000001" customHeight="1" x14ac:dyDescent="0.25">
      <c r="A7" s="1">
        <f>ROW()-ROW(JiO_SIM_Mobile[[#Headers],[Sr. No.]])</f>
        <v>6</v>
      </c>
      <c r="B7" s="1">
        <v>8378984303</v>
      </c>
      <c r="C7" s="8">
        <v>341</v>
      </c>
      <c r="D7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Pramod Shrikrishna Bhosale</v>
      </c>
      <c r="E7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Technical Services</v>
      </c>
      <c r="G7" s="1" t="s">
        <v>793</v>
      </c>
      <c r="K7" s="5"/>
      <c r="L7" s="1" t="str">
        <f ca="1">IFERROR(IF(JiO_SIM_Mobile[[#This Row],[Warranty Date]]&lt;TODAY(), "Out of Warranty", IF(JiO_SIM_Mobile[[#This Row],[Warranty Date]]-TODAY()&lt;=30, "Expiring Soon", "In Warranty")),"-")</f>
        <v>-</v>
      </c>
      <c r="M7" s="5" t="str">
        <f>IFERROR(IF(JiO_SIM_Mobile[[#This Row],[Purchase Date]]="","NA",EDATE(JiO_SIM_Mobile[[#This Row],[Purchase Date]],12)),"NA")</f>
        <v>NA</v>
      </c>
      <c r="O7" s="6"/>
      <c r="P7" s="6"/>
      <c r="Q7" s="6"/>
      <c r="S7" s="6"/>
      <c r="T7" s="6"/>
      <c r="U7" s="1" t="s">
        <v>635</v>
      </c>
    </row>
    <row r="8" spans="1:24" ht="20.100000000000001" customHeight="1" x14ac:dyDescent="0.25">
      <c r="A8" s="1">
        <f>ROW()-ROW(JiO_SIM_Mobile[[#Headers],[Sr. No.]])</f>
        <v>7</v>
      </c>
      <c r="B8" s="1">
        <v>8378984310</v>
      </c>
      <c r="C8" s="8">
        <v>166</v>
      </c>
      <c r="D8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Anand Shrikant Kanaka</v>
      </c>
      <c r="E8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HR</v>
      </c>
      <c r="G8" s="1" t="s">
        <v>634</v>
      </c>
      <c r="K8" s="5"/>
      <c r="L8" s="1" t="str">
        <f ca="1">IFERROR(IF(JiO_SIM_Mobile[[#This Row],[Warranty Date]]&lt;TODAY(), "Out of Warranty", IF(JiO_SIM_Mobile[[#This Row],[Warranty Date]]-TODAY()&lt;=30, "Expiring Soon", "In Warranty")),"-")</f>
        <v>-</v>
      </c>
      <c r="M8" s="5" t="str">
        <f>IFERROR(IF(JiO_SIM_Mobile[[#This Row],[Purchase Date]]="","NA",EDATE(JiO_SIM_Mobile[[#This Row],[Purchase Date]],12)),"NA")</f>
        <v>NA</v>
      </c>
      <c r="O8" s="6"/>
      <c r="P8" s="6"/>
      <c r="Q8" s="6"/>
      <c r="S8" s="6"/>
      <c r="T8" s="6"/>
      <c r="U8" s="1" t="s">
        <v>635</v>
      </c>
    </row>
    <row r="9" spans="1:24" ht="20.100000000000001" customHeight="1" x14ac:dyDescent="0.25">
      <c r="A9" s="1">
        <f>ROW()-ROW(JiO_SIM_Mobile[[#Headers],[Sr. No.]])</f>
        <v>8</v>
      </c>
      <c r="B9" s="1">
        <v>8378984311</v>
      </c>
      <c r="C9" s="8">
        <v>41</v>
      </c>
      <c r="D9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Arjun Guruling Wale</v>
      </c>
      <c r="E9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Production</v>
      </c>
      <c r="F9" s="1" t="s">
        <v>728</v>
      </c>
      <c r="G9" s="1" t="s">
        <v>634</v>
      </c>
      <c r="H9" s="1" t="s">
        <v>634</v>
      </c>
      <c r="I9" s="1" t="s">
        <v>904</v>
      </c>
      <c r="J9" s="1" t="s">
        <v>784</v>
      </c>
      <c r="K9" s="5">
        <v>45687</v>
      </c>
      <c r="L9" s="1" t="str">
        <f ca="1">IFERROR(IF(JiO_SIM_Mobile[[#This Row],[Warranty Date]]&lt;TODAY(), "Out of Warranty", IF(JiO_SIM_Mobile[[#This Row],[Warranty Date]]-TODAY()&lt;=30, "Expiring Soon", "In Warranty")),"-")</f>
        <v>Out of Warranty</v>
      </c>
      <c r="M9" s="5">
        <f>IFERROR(IF(JiO_SIM_Mobile[[#This Row],[Purchase Date]]="","NA",EDATE(JiO_SIM_Mobile[[#This Row],[Purchase Date]],12)),"NA")</f>
        <v>46052</v>
      </c>
      <c r="N9" s="1" t="s">
        <v>779</v>
      </c>
      <c r="O9" s="6" t="s">
        <v>785</v>
      </c>
      <c r="P9" s="6" t="s">
        <v>786</v>
      </c>
      <c r="Q9" s="6"/>
      <c r="R9" s="1" t="s">
        <v>18</v>
      </c>
      <c r="S9" s="6"/>
      <c r="T9" s="6"/>
      <c r="U9" s="7" t="s">
        <v>635</v>
      </c>
    </row>
    <row r="10" spans="1:24" ht="20.100000000000001" customHeight="1" x14ac:dyDescent="0.25">
      <c r="A10" s="1">
        <f>ROW()-ROW(JiO_SIM_Mobile[[#Headers],[Sr. No.]])</f>
        <v>9</v>
      </c>
      <c r="B10" s="1">
        <v>8390591510</v>
      </c>
      <c r="C10" s="8">
        <v>144</v>
      </c>
      <c r="D10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Pravinkumar Shankar Patil</v>
      </c>
      <c r="E10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EHS</v>
      </c>
      <c r="F10" s="1" t="s">
        <v>728</v>
      </c>
      <c r="G10" s="1" t="s">
        <v>634</v>
      </c>
      <c r="H10" s="1" t="s">
        <v>634</v>
      </c>
      <c r="I10" s="1" t="s">
        <v>904</v>
      </c>
      <c r="J10" s="1" t="s">
        <v>787</v>
      </c>
      <c r="K10" s="5">
        <v>45973</v>
      </c>
      <c r="L10" s="1" t="str">
        <f ca="1">IFERROR(IF(JiO_SIM_Mobile[[#This Row],[Warranty Date]]&lt;TODAY(), "Out of Warranty", IF(JiO_SIM_Mobile[[#This Row],[Warranty Date]]-TODAY()&lt;=30, "Expiring Soon", "In Warranty")),"-")</f>
        <v>In Warranty</v>
      </c>
      <c r="M10" s="5">
        <f>IFERROR(IF(JiO_SIM_Mobile[[#This Row],[Purchase Date]]="","NA",EDATE(JiO_SIM_Mobile[[#This Row],[Purchase Date]],12)),"NA")</f>
        <v>46338</v>
      </c>
      <c r="N10" s="1" t="s">
        <v>638</v>
      </c>
      <c r="O10" s="6" t="s">
        <v>788</v>
      </c>
      <c r="P10" s="6" t="s">
        <v>789</v>
      </c>
      <c r="Q10" s="6" t="s">
        <v>655</v>
      </c>
      <c r="R10" s="1" t="s">
        <v>18</v>
      </c>
      <c r="S10" s="6"/>
      <c r="T10" s="6"/>
      <c r="U10" s="1" t="s">
        <v>635</v>
      </c>
      <c r="V10" s="1" t="s">
        <v>790</v>
      </c>
    </row>
    <row r="11" spans="1:24" ht="20.100000000000001" customHeight="1" x14ac:dyDescent="0.25">
      <c r="A11" s="1">
        <f>ROW()-ROW(JiO_SIM_Mobile[[#Headers],[Sr. No.]])</f>
        <v>10</v>
      </c>
      <c r="B11" s="1">
        <v>8390591693</v>
      </c>
      <c r="C11" s="8">
        <v>365</v>
      </c>
      <c r="D11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Vikas Kashinath Kale</v>
      </c>
      <c r="E11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Environment</v>
      </c>
      <c r="F11" s="1" t="s">
        <v>634</v>
      </c>
      <c r="G11" s="1" t="s">
        <v>794</v>
      </c>
      <c r="H11" s="1" t="s">
        <v>634</v>
      </c>
      <c r="K11" s="5"/>
      <c r="L11" s="1" t="str">
        <f ca="1">IFERROR(IF(JiO_SIM_Mobile[[#This Row],[Warranty Date]]&lt;TODAY(), "Out of Warranty", IF(JiO_SIM_Mobile[[#This Row],[Warranty Date]]-TODAY()&lt;=30, "Expiring Soon", "In Warranty")),"-")</f>
        <v>-</v>
      </c>
      <c r="M11" s="5" t="str">
        <f>IFERROR(IF(JiO_SIM_Mobile[[#This Row],[Purchase Date]]="","NA",EDATE(JiO_SIM_Mobile[[#This Row],[Purchase Date]],12)),"NA")</f>
        <v>NA</v>
      </c>
      <c r="O11" s="6"/>
      <c r="P11" s="6"/>
      <c r="Q11" s="6"/>
      <c r="S11" s="6"/>
      <c r="T11" s="6"/>
      <c r="U11" s="1" t="s">
        <v>635</v>
      </c>
    </row>
    <row r="12" spans="1:24" ht="20.100000000000001" customHeight="1" x14ac:dyDescent="0.25">
      <c r="A12" s="1">
        <f>ROW()-ROW(JiO_SIM_Mobile[[#Headers],[Sr. No.]])</f>
        <v>11</v>
      </c>
      <c r="B12" s="1">
        <v>8459614176</v>
      </c>
      <c r="C12" s="8">
        <v>342</v>
      </c>
      <c r="D12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Amol Prakash Chaudhari</v>
      </c>
      <c r="E12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Project</v>
      </c>
      <c r="G12" s="1" t="s">
        <v>793</v>
      </c>
      <c r="K12" s="5"/>
      <c r="L12" s="1" t="str">
        <f ca="1">IFERROR(IF(JiO_SIM_Mobile[[#This Row],[Warranty Date]]&lt;TODAY(), "Out of Warranty", IF(JiO_SIM_Mobile[[#This Row],[Warranty Date]]-TODAY()&lt;=30, "Expiring Soon", "In Warranty")),"-")</f>
        <v>-</v>
      </c>
      <c r="M12" s="5" t="str">
        <f>IFERROR(IF(JiO_SIM_Mobile[[#This Row],[Purchase Date]]="","NA",EDATE(JiO_SIM_Mobile[[#This Row],[Purchase Date]],12)),"NA")</f>
        <v>NA</v>
      </c>
      <c r="O12" s="6"/>
      <c r="P12" s="6"/>
      <c r="Q12" s="6"/>
      <c r="S12" s="6"/>
      <c r="T12" s="6"/>
      <c r="U12" s="1" t="s">
        <v>635</v>
      </c>
    </row>
    <row r="13" spans="1:24" ht="20.100000000000001" customHeight="1" x14ac:dyDescent="0.25">
      <c r="A13" s="1">
        <f>ROW()-ROW(JiO_SIM_Mobile[[#Headers],[Sr. No.]])</f>
        <v>12</v>
      </c>
      <c r="B13" s="1">
        <v>8459614177</v>
      </c>
      <c r="C13" s="8">
        <v>243</v>
      </c>
      <c r="D13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Dattatray Ravikiran Harkud</v>
      </c>
      <c r="E13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SCM</v>
      </c>
      <c r="G13" s="1" t="s">
        <v>795</v>
      </c>
      <c r="K13" s="5"/>
      <c r="L13" s="1" t="str">
        <f ca="1">IFERROR(IF(JiO_SIM_Mobile[[#This Row],[Warranty Date]]&lt;TODAY(), "Out of Warranty", IF(JiO_SIM_Mobile[[#This Row],[Warranty Date]]-TODAY()&lt;=30, "Expiring Soon", "In Warranty")),"-")</f>
        <v>-</v>
      </c>
      <c r="M13" s="5" t="str">
        <f>IFERROR(IF(JiO_SIM_Mobile[[#This Row],[Purchase Date]]="","NA",EDATE(JiO_SIM_Mobile[[#This Row],[Purchase Date]],12)),"NA")</f>
        <v>NA</v>
      </c>
      <c r="O13" s="6"/>
      <c r="P13" s="6"/>
      <c r="Q13" s="6"/>
      <c r="S13" s="6"/>
      <c r="T13" s="6"/>
      <c r="U13" s="1" t="s">
        <v>635</v>
      </c>
    </row>
    <row r="14" spans="1:24" ht="20.100000000000001" customHeight="1" x14ac:dyDescent="0.25">
      <c r="A14" s="1">
        <f>ROW()-ROW(JiO_SIM_Mobile[[#Headers],[Sr. No.]])</f>
        <v>13</v>
      </c>
      <c r="B14" s="1">
        <v>8459614178</v>
      </c>
      <c r="C14" s="8">
        <v>350</v>
      </c>
      <c r="D14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Kausar Abdul Rajjak Sayyad</v>
      </c>
      <c r="E14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QC &amp; QA</v>
      </c>
      <c r="G14" s="1" t="s">
        <v>796</v>
      </c>
      <c r="K14" s="5"/>
      <c r="L14" s="1" t="str">
        <f ca="1">IFERROR(IF(JiO_SIM_Mobile[[#This Row],[Warranty Date]]&lt;TODAY(), "Out of Warranty", IF(JiO_SIM_Mobile[[#This Row],[Warranty Date]]-TODAY()&lt;=30, "Expiring Soon", "In Warranty")),"-")</f>
        <v>-</v>
      </c>
      <c r="M14" s="5" t="str">
        <f>IFERROR(IF(JiO_SIM_Mobile[[#This Row],[Purchase Date]]="","NA",EDATE(JiO_SIM_Mobile[[#This Row],[Purchase Date]],12)),"NA")</f>
        <v>NA</v>
      </c>
      <c r="O14" s="6"/>
      <c r="P14" s="6"/>
      <c r="Q14" s="6"/>
      <c r="S14" s="6"/>
      <c r="T14" s="6"/>
      <c r="U14" s="1" t="s">
        <v>635</v>
      </c>
    </row>
    <row r="15" spans="1:24" ht="20.100000000000001" customHeight="1" x14ac:dyDescent="0.25">
      <c r="A15" s="1">
        <f>ROW()-ROW(JiO_SIM_Mobile[[#Headers],[Sr. No.]])</f>
        <v>14</v>
      </c>
      <c r="B15" s="1">
        <v>8459614179</v>
      </c>
      <c r="C15" s="8">
        <v>245</v>
      </c>
      <c r="D15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Balbhim Dadarao Kale</v>
      </c>
      <c r="E15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Maintenance</v>
      </c>
      <c r="F15" s="1" t="s">
        <v>728</v>
      </c>
      <c r="G15" s="1" t="s">
        <v>793</v>
      </c>
      <c r="I15" s="1" t="s">
        <v>903</v>
      </c>
      <c r="J15" s="1" t="s">
        <v>755</v>
      </c>
      <c r="K15" s="5">
        <v>46252</v>
      </c>
      <c r="L15" s="1" t="str">
        <f ca="1">IFERROR(IF(JiO_SIM_Mobile[[#This Row],[Warranty Date]]&lt;TODAY(), "Out of Warranty", IF(JiO_SIM_Mobile[[#This Row],[Warranty Date]]-TODAY()&lt;=30, "Expiring Soon", "In Warranty")),"-")</f>
        <v>In Warranty</v>
      </c>
      <c r="M15" s="5">
        <f>IFERROR(IF(JiO_SIM_Mobile[[#This Row],[Purchase Date]]="","NA",EDATE(JiO_SIM_Mobile[[#This Row],[Purchase Date]],12)),"NA")</f>
        <v>46617</v>
      </c>
      <c r="N15" s="1" t="s">
        <v>638</v>
      </c>
      <c r="O15" s="6" t="s">
        <v>956</v>
      </c>
      <c r="P15" s="6" t="s">
        <v>957</v>
      </c>
      <c r="Q15" s="6" t="s">
        <v>958</v>
      </c>
      <c r="R15" s="1" t="s">
        <v>18</v>
      </c>
      <c r="S15" s="6"/>
      <c r="T15" s="6"/>
      <c r="U15" s="1" t="s">
        <v>635</v>
      </c>
      <c r="V15" s="1" t="s">
        <v>959</v>
      </c>
      <c r="X15" s="19">
        <v>45729</v>
      </c>
    </row>
    <row r="16" spans="1:24" ht="20.100000000000001" customHeight="1" x14ac:dyDescent="0.25">
      <c r="A16" s="1">
        <f>ROW()-ROW(JiO_SIM_Mobile[[#Headers],[Sr. No.]])</f>
        <v>15</v>
      </c>
      <c r="B16" s="1">
        <v>8459614180</v>
      </c>
      <c r="C16" s="8">
        <v>276</v>
      </c>
      <c r="D16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Balasaheb Sitaram Shendage</v>
      </c>
      <c r="E16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Store</v>
      </c>
      <c r="G16" s="1" t="s">
        <v>797</v>
      </c>
      <c r="I16" s="1" t="s">
        <v>904</v>
      </c>
      <c r="J16" s="1" t="s">
        <v>798</v>
      </c>
      <c r="K16" s="5">
        <v>45653</v>
      </c>
      <c r="L16" s="1" t="str">
        <f ca="1">IFERROR(IF(JiO_SIM_Mobile[[#This Row],[Warranty Date]]&lt;TODAY(), "Out of Warranty", IF(JiO_SIM_Mobile[[#This Row],[Warranty Date]]-TODAY()&lt;=30, "Expiring Soon", "In Warranty")),"-")</f>
        <v>Out of Warranty</v>
      </c>
      <c r="M16" s="5">
        <f>IFERROR(IF(JiO_SIM_Mobile[[#This Row],[Purchase Date]]="","NA",EDATE(JiO_SIM_Mobile[[#This Row],[Purchase Date]],12)),"NA")</f>
        <v>46018</v>
      </c>
      <c r="N16" s="1" t="s">
        <v>779</v>
      </c>
      <c r="O16" s="6" t="s">
        <v>799</v>
      </c>
      <c r="P16" s="6"/>
      <c r="Q16" s="6"/>
      <c r="R16" s="1" t="s">
        <v>18</v>
      </c>
      <c r="S16" s="6"/>
      <c r="T16" s="6"/>
      <c r="U16" s="1" t="s">
        <v>635</v>
      </c>
    </row>
    <row r="17" spans="1:22" ht="20.100000000000001" customHeight="1" x14ac:dyDescent="0.25">
      <c r="A17" s="1">
        <f>ROW()-ROW(JiO_SIM_Mobile[[#Headers],[Sr. No.]])</f>
        <v>16</v>
      </c>
      <c r="B17" s="1">
        <v>8459614181</v>
      </c>
      <c r="C17" s="8">
        <v>0</v>
      </c>
      <c r="D17" s="1" t="s">
        <v>800</v>
      </c>
      <c r="E17" s="1" t="s">
        <v>52</v>
      </c>
      <c r="F17" s="1" t="s">
        <v>634</v>
      </c>
      <c r="G17" s="1" t="s">
        <v>634</v>
      </c>
      <c r="H17" s="1" t="s">
        <v>634</v>
      </c>
      <c r="I17" s="1" t="s">
        <v>903</v>
      </c>
      <c r="J17" s="1" t="s">
        <v>755</v>
      </c>
      <c r="K17" s="5">
        <v>45965</v>
      </c>
      <c r="L17" s="1" t="str">
        <f ca="1">IFERROR(IF(JiO_SIM_Mobile[[#This Row],[Warranty Date]]&lt;TODAY(), "Out of Warranty", IF(JiO_SIM_Mobile[[#This Row],[Warranty Date]]-TODAY()&lt;=30, "Expiring Soon", "In Warranty")),"-")</f>
        <v>In Warranty</v>
      </c>
      <c r="M17" s="5">
        <f>IFERROR(IF(JiO_SIM_Mobile[[#This Row],[Purchase Date]]="","NA",EDATE(JiO_SIM_Mobile[[#This Row],[Purchase Date]],12)),"NA")</f>
        <v>46330</v>
      </c>
      <c r="N17" s="1" t="s">
        <v>638</v>
      </c>
      <c r="O17" s="6" t="s">
        <v>801</v>
      </c>
      <c r="P17" s="6"/>
      <c r="Q17" s="6"/>
      <c r="R17" s="1" t="s">
        <v>18</v>
      </c>
      <c r="S17" s="6"/>
      <c r="T17" s="6"/>
      <c r="U17" s="1" t="s">
        <v>635</v>
      </c>
    </row>
    <row r="18" spans="1:22" ht="20.100000000000001" customHeight="1" x14ac:dyDescent="0.25">
      <c r="A18" s="1">
        <f>ROW()-ROW(JiO_SIM_Mobile[[#Headers],[Sr. No.]])</f>
        <v>17</v>
      </c>
      <c r="B18" s="1">
        <v>8459614183</v>
      </c>
      <c r="C18" s="8">
        <v>609</v>
      </c>
      <c r="D18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Jairaj Meghraj Bhogade</v>
      </c>
      <c r="E18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IT</v>
      </c>
      <c r="G18" s="1" t="s">
        <v>802</v>
      </c>
      <c r="H18" s="1" t="s">
        <v>442</v>
      </c>
      <c r="K18" s="5"/>
      <c r="L18" s="1" t="str">
        <f ca="1">IFERROR(IF(JiO_SIM_Mobile[[#This Row],[Warranty Date]]&lt;TODAY(), "Out of Warranty", IF(JiO_SIM_Mobile[[#This Row],[Warranty Date]]-TODAY()&lt;=30, "Expiring Soon", "In Warranty")),"-")</f>
        <v>-</v>
      </c>
      <c r="M18" s="5" t="str">
        <f>IFERROR(IF(JiO_SIM_Mobile[[#This Row],[Purchase Date]]="","NA",EDATE(JiO_SIM_Mobile[[#This Row],[Purchase Date]],12)),"NA")</f>
        <v>NA</v>
      </c>
      <c r="O18" s="6"/>
      <c r="P18" s="6"/>
      <c r="Q18" s="6"/>
      <c r="R18" s="1" t="s">
        <v>18</v>
      </c>
      <c r="S18" s="6"/>
      <c r="T18" s="6"/>
      <c r="U18" s="1" t="s">
        <v>635</v>
      </c>
      <c r="V18" s="1" t="s">
        <v>803</v>
      </c>
    </row>
    <row r="19" spans="1:22" ht="20.100000000000001" customHeight="1" x14ac:dyDescent="0.25">
      <c r="A19" s="1">
        <f>ROW()-ROW(JiO_SIM_Mobile[[#Headers],[Sr. No.]])</f>
        <v>18</v>
      </c>
      <c r="B19" s="1">
        <v>9011074065</v>
      </c>
      <c r="C19" s="8">
        <v>87</v>
      </c>
      <c r="D19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Satish Girmal Padasalgi</v>
      </c>
      <c r="E19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Admin</v>
      </c>
      <c r="K19" s="5"/>
      <c r="L19" s="1" t="str">
        <f ca="1">IFERROR(IF(JiO_SIM_Mobile[[#This Row],[Warranty Date]]&lt;TODAY(), "Out of Warranty", IF(JiO_SIM_Mobile[[#This Row],[Warranty Date]]-TODAY()&lt;=30, "Expiring Soon", "In Warranty")),"-")</f>
        <v>-</v>
      </c>
      <c r="M19" s="5" t="str">
        <f>IFERROR(IF(JiO_SIM_Mobile[[#This Row],[Purchase Date]]="","NA",EDATE(JiO_SIM_Mobile[[#This Row],[Purchase Date]],12)),"NA")</f>
        <v>NA</v>
      </c>
      <c r="O19" s="6"/>
      <c r="P19" s="6"/>
      <c r="Q19" s="6"/>
      <c r="S19" s="6"/>
      <c r="T19" s="6"/>
      <c r="U19" s="1" t="s">
        <v>635</v>
      </c>
    </row>
    <row r="20" spans="1:22" ht="20.100000000000001" customHeight="1" x14ac:dyDescent="0.25">
      <c r="A20" s="1">
        <f>ROW()-ROW(JiO_SIM_Mobile[[#Headers],[Sr. No.]])</f>
        <v>19</v>
      </c>
      <c r="B20" s="1">
        <v>9022930354</v>
      </c>
      <c r="C20" s="8">
        <v>721</v>
      </c>
      <c r="D20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Sunil Sanjay Chanmal</v>
      </c>
      <c r="E20" s="1" t="s">
        <v>71</v>
      </c>
      <c r="F20" s="1" t="s">
        <v>804</v>
      </c>
      <c r="G20" s="1" t="s">
        <v>805</v>
      </c>
      <c r="I20" s="1" t="s">
        <v>903</v>
      </c>
      <c r="J20" s="1" t="s">
        <v>755</v>
      </c>
      <c r="K20" s="5">
        <v>45525</v>
      </c>
      <c r="L20" s="1" t="str">
        <f ca="1">IFERROR(IF(JiO_SIM_Mobile[[#This Row],[Warranty Date]]&lt;TODAY(), "Out of Warranty", IF(JiO_SIM_Mobile[[#This Row],[Warranty Date]]-TODAY()&lt;=30, "Expiring Soon", "In Warranty")),"-")</f>
        <v>Out of Warranty</v>
      </c>
      <c r="M20" s="5">
        <f>IFERROR(IF(JiO_SIM_Mobile[[#This Row],[Purchase Date]]="","NA",EDATE(JiO_SIM_Mobile[[#This Row],[Purchase Date]],12)),"NA")</f>
        <v>45890</v>
      </c>
      <c r="O20" s="6" t="s">
        <v>964</v>
      </c>
      <c r="P20" s="6" t="s">
        <v>965</v>
      </c>
      <c r="Q20" s="6" t="s">
        <v>908</v>
      </c>
      <c r="R20" s="1" t="s">
        <v>18</v>
      </c>
      <c r="S20" s="6"/>
      <c r="T20" s="6"/>
      <c r="U20" s="1" t="s">
        <v>635</v>
      </c>
    </row>
    <row r="21" spans="1:22" ht="20.100000000000001" customHeight="1" x14ac:dyDescent="0.25">
      <c r="A21" s="1">
        <f>ROW()-ROW(JiO_SIM_Mobile[[#Headers],[Sr. No.]])</f>
        <v>20</v>
      </c>
      <c r="B21" s="1">
        <v>9022930355</v>
      </c>
      <c r="C21" s="8">
        <v>262</v>
      </c>
      <c r="D21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Khairul Basar Mollah</v>
      </c>
      <c r="E21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Electrical</v>
      </c>
      <c r="G21" s="1" t="s">
        <v>807</v>
      </c>
      <c r="H21" s="13" t="s">
        <v>807</v>
      </c>
      <c r="I21" s="13"/>
      <c r="K21" s="5"/>
      <c r="L21" s="1" t="str">
        <f ca="1">IFERROR(IF(JiO_SIM_Mobile[[#This Row],[Warranty Date]]&lt;TODAY(), "Out of Warranty", IF(JiO_SIM_Mobile[[#This Row],[Warranty Date]]-TODAY()&lt;=30, "Expiring Soon", "In Warranty")),"-")</f>
        <v>-</v>
      </c>
      <c r="M21" s="5" t="str">
        <f>IFERROR(IF(JiO_SIM_Mobile[[#This Row],[Purchase Date]]="","NA",EDATE(JiO_SIM_Mobile[[#This Row],[Purchase Date]],12)),"NA")</f>
        <v>NA</v>
      </c>
      <c r="O21" s="6"/>
      <c r="P21" s="6"/>
      <c r="Q21" s="6"/>
      <c r="S21" s="6"/>
      <c r="T21" s="6"/>
      <c r="U21" s="1" t="s">
        <v>635</v>
      </c>
    </row>
    <row r="22" spans="1:22" ht="20.100000000000001" customHeight="1" x14ac:dyDescent="0.25">
      <c r="A22" s="1">
        <f>ROW()-ROW(JiO_SIM_Mobile[[#Headers],[Sr. No.]])</f>
        <v>21</v>
      </c>
      <c r="B22" s="1">
        <v>9022930356</v>
      </c>
      <c r="C22" s="8">
        <v>239</v>
      </c>
      <c r="D22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Prashant Rajkumar Ghogare</v>
      </c>
      <c r="E22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Technical Services</v>
      </c>
      <c r="G22" s="1" t="s">
        <v>808</v>
      </c>
      <c r="K22" s="5"/>
      <c r="L22" s="1" t="str">
        <f ca="1">IFERROR(IF(JiO_SIM_Mobile[[#This Row],[Warranty Date]]&lt;TODAY(), "Out of Warranty", IF(JiO_SIM_Mobile[[#This Row],[Warranty Date]]-TODAY()&lt;=30, "Expiring Soon", "In Warranty")),"-")</f>
        <v>-</v>
      </c>
      <c r="M22" s="5" t="str">
        <f>IFERROR(IF(JiO_SIM_Mobile[[#This Row],[Purchase Date]]="","NA",EDATE(JiO_SIM_Mobile[[#This Row],[Purchase Date]],12)),"NA")</f>
        <v>NA</v>
      </c>
      <c r="O22" s="6"/>
      <c r="P22" s="6"/>
      <c r="Q22" s="6"/>
      <c r="S22" s="6"/>
      <c r="T22" s="6"/>
      <c r="U22" s="1" t="s">
        <v>635</v>
      </c>
    </row>
    <row r="23" spans="1:22" ht="20.100000000000001" customHeight="1" x14ac:dyDescent="0.25">
      <c r="A23" s="14">
        <f>ROW()-ROW(JiO_SIM_Mobile[[#Headers],[Sr. No.]])</f>
        <v>22</v>
      </c>
      <c r="B23" s="14">
        <v>9158890891</v>
      </c>
      <c r="C23" s="15">
        <v>738</v>
      </c>
      <c r="D23" s="14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Manoj Hanmant Bagal</v>
      </c>
      <c r="E23" s="14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Operation</v>
      </c>
      <c r="F23" s="14"/>
      <c r="G23" s="14" t="s">
        <v>479</v>
      </c>
      <c r="H23" s="14" t="s">
        <v>480</v>
      </c>
      <c r="I23" s="14" t="s">
        <v>904</v>
      </c>
      <c r="J23" s="14" t="s">
        <v>809</v>
      </c>
      <c r="K23" s="16">
        <v>45511</v>
      </c>
      <c r="L23" s="14" t="str">
        <f ca="1">IFERROR(IF(JiO_SIM_Mobile[[#This Row],[Warranty Date]]&lt;TODAY(), "Out of Warranty", IF(JiO_SIM_Mobile[[#This Row],[Warranty Date]]-TODAY()&lt;=30, "Expiring Soon", "In Warranty")),"-")</f>
        <v>Out of Warranty</v>
      </c>
      <c r="M23" s="16">
        <f>IFERROR(IF(JiO_SIM_Mobile[[#This Row],[Purchase Date]]="","NA",EDATE(JiO_SIM_Mobile[[#This Row],[Purchase Date]],12)),"NA")</f>
        <v>45876</v>
      </c>
      <c r="N23" s="14"/>
      <c r="O23" s="17" t="s">
        <v>871</v>
      </c>
      <c r="P23" s="17" t="s">
        <v>872</v>
      </c>
      <c r="Q23" s="17"/>
      <c r="R23" s="14" t="s">
        <v>18</v>
      </c>
      <c r="S23" s="17"/>
      <c r="T23" s="17"/>
      <c r="U23" s="14" t="s">
        <v>635</v>
      </c>
      <c r="V23" s="14" t="s">
        <v>873</v>
      </c>
    </row>
    <row r="24" spans="1:22" ht="20.100000000000001" customHeight="1" x14ac:dyDescent="0.25">
      <c r="A24" s="1">
        <f>ROW()-ROW(JiO_SIM_Mobile[[#Headers],[Sr. No.]])</f>
        <v>23</v>
      </c>
      <c r="B24" s="1">
        <v>9158900905</v>
      </c>
      <c r="C24" s="8">
        <v>504</v>
      </c>
      <c r="D24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Raju Natu Rathod</v>
      </c>
      <c r="E24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HR</v>
      </c>
      <c r="G24" s="1" t="s">
        <v>810</v>
      </c>
      <c r="K24" s="5"/>
      <c r="L24" s="1" t="str">
        <f ca="1">IFERROR(IF(JiO_SIM_Mobile[[#This Row],[Warranty Date]]&lt;TODAY(), "Out of Warranty", IF(JiO_SIM_Mobile[[#This Row],[Warranty Date]]-TODAY()&lt;=30, "Expiring Soon", "In Warranty")),"-")</f>
        <v>-</v>
      </c>
      <c r="M24" s="5" t="str">
        <f>IFERROR(IF(JiO_SIM_Mobile[[#This Row],[Purchase Date]]="","NA",EDATE(JiO_SIM_Mobile[[#This Row],[Purchase Date]],12)),"NA")</f>
        <v>NA</v>
      </c>
      <c r="O24" s="6"/>
      <c r="P24" s="6"/>
      <c r="Q24" s="6"/>
      <c r="S24" s="6"/>
      <c r="T24" s="6"/>
      <c r="U24" s="1" t="s">
        <v>635</v>
      </c>
      <c r="V24" s="1" t="s">
        <v>803</v>
      </c>
    </row>
    <row r="25" spans="1:22" ht="20.100000000000001" customHeight="1" x14ac:dyDescent="0.25">
      <c r="A25" s="1">
        <f>ROW()-ROW(JiO_SIM_Mobile[[#Headers],[Sr. No.]])</f>
        <v>24</v>
      </c>
      <c r="B25" s="1">
        <v>9325981587</v>
      </c>
      <c r="C25" s="8">
        <v>501</v>
      </c>
      <c r="D25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Bhagavan Vishnu Bhange</v>
      </c>
      <c r="E25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EHS</v>
      </c>
      <c r="G25" s="1" t="s">
        <v>811</v>
      </c>
      <c r="K25" s="5"/>
      <c r="L25" s="1" t="str">
        <f ca="1">IFERROR(IF(JiO_SIM_Mobile[[#This Row],[Warranty Date]]&lt;TODAY(), "Out of Warranty", IF(JiO_SIM_Mobile[[#This Row],[Warranty Date]]-TODAY()&lt;=30, "Expiring Soon", "In Warranty")),"-")</f>
        <v>-</v>
      </c>
      <c r="M25" s="5" t="str">
        <f>IFERROR(IF(JiO_SIM_Mobile[[#This Row],[Purchase Date]]="","NA",EDATE(JiO_SIM_Mobile[[#This Row],[Purchase Date]],12)),"NA")</f>
        <v>NA</v>
      </c>
      <c r="O25" s="6"/>
      <c r="P25" s="6"/>
      <c r="Q25" s="6"/>
      <c r="S25" s="6"/>
      <c r="T25" s="6"/>
      <c r="U25" s="1" t="s">
        <v>635</v>
      </c>
    </row>
    <row r="26" spans="1:22" ht="20.100000000000001" customHeight="1" x14ac:dyDescent="0.25">
      <c r="A26" s="9">
        <f>ROW()-ROW(JiO_SIM_Mobile[[#Headers],[Sr. No.]])</f>
        <v>25</v>
      </c>
      <c r="B26" s="9">
        <v>9325981590</v>
      </c>
      <c r="C26" s="10">
        <v>0</v>
      </c>
      <c r="D26" s="9" t="s">
        <v>812</v>
      </c>
      <c r="E26" s="9" t="s">
        <v>813</v>
      </c>
      <c r="F26" s="9"/>
      <c r="G26" s="9"/>
      <c r="H26" s="9"/>
      <c r="I26" s="9"/>
      <c r="J26" s="9"/>
      <c r="K26" s="11"/>
      <c r="L26" s="9" t="str">
        <f ca="1">IFERROR(IF(JiO_SIM_Mobile[[#This Row],[Warranty Date]]&lt;TODAY(), "Out of Warranty", IF(JiO_SIM_Mobile[[#This Row],[Warranty Date]]-TODAY()&lt;=30, "Expiring Soon", "In Warranty")),"-")</f>
        <v>-</v>
      </c>
      <c r="M26" s="11" t="str">
        <f>IFERROR(IF(JiO_SIM_Mobile[[#This Row],[Purchase Date]]="","NA",EDATE(JiO_SIM_Mobile[[#This Row],[Purchase Date]],12)),"NA")</f>
        <v>NA</v>
      </c>
      <c r="N26" s="9"/>
      <c r="O26" s="12"/>
      <c r="P26" s="12"/>
      <c r="Q26" s="12"/>
      <c r="R26" s="9"/>
      <c r="S26" s="12"/>
      <c r="T26" s="12"/>
      <c r="U26" s="9" t="s">
        <v>635</v>
      </c>
      <c r="V26" s="9"/>
    </row>
    <row r="27" spans="1:22" ht="20.100000000000001" customHeight="1" x14ac:dyDescent="0.25">
      <c r="A27" s="1">
        <f>ROW()-ROW(JiO_SIM_Mobile[[#Headers],[Sr. No.]])</f>
        <v>26</v>
      </c>
      <c r="B27" s="1">
        <v>9923602889</v>
      </c>
      <c r="C27" s="8">
        <v>0</v>
      </c>
      <c r="D27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-</v>
      </c>
      <c r="E27" s="1" t="s">
        <v>45</v>
      </c>
      <c r="F27" s="1" t="s">
        <v>814</v>
      </c>
      <c r="G27" s="1" t="s">
        <v>815</v>
      </c>
      <c r="I27" s="1" t="s">
        <v>903</v>
      </c>
      <c r="J27" s="1" t="s">
        <v>806</v>
      </c>
      <c r="K27" s="5">
        <v>45538</v>
      </c>
      <c r="L27" s="1" t="str">
        <f ca="1">IFERROR(IF(JiO_SIM_Mobile[[#This Row],[Warranty Date]]&lt;TODAY(), "Out of Warranty", IF(JiO_SIM_Mobile[[#This Row],[Warranty Date]]-TODAY()&lt;=30, "Expiring Soon", "In Warranty")),"-")</f>
        <v>Out of Warranty</v>
      </c>
      <c r="M27" s="5">
        <f>IFERROR(IF(JiO_SIM_Mobile[[#This Row],[Purchase Date]]="","NA",EDATE(JiO_SIM_Mobile[[#This Row],[Purchase Date]],12)),"NA")</f>
        <v>45903</v>
      </c>
      <c r="O27" s="6"/>
      <c r="P27" s="6"/>
      <c r="Q27" s="6"/>
      <c r="S27" s="6"/>
      <c r="T27" s="6"/>
      <c r="U27" s="1" t="s">
        <v>635</v>
      </c>
    </row>
    <row r="28" spans="1:22" ht="20.100000000000001" customHeight="1" x14ac:dyDescent="0.25">
      <c r="A28" s="1">
        <f>ROW()-ROW(JiO_SIM_Mobile[[#Headers],[Sr. No.]])</f>
        <v>27</v>
      </c>
      <c r="B28" s="1">
        <v>9923602890</v>
      </c>
      <c r="C28" s="8">
        <v>71</v>
      </c>
      <c r="D28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Vinod Umashankar Nimbalkar</v>
      </c>
      <c r="E28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Quality Control</v>
      </c>
      <c r="I28" s="1" t="s">
        <v>904</v>
      </c>
      <c r="J28" s="1" t="s">
        <v>816</v>
      </c>
      <c r="K28" s="5">
        <v>45429</v>
      </c>
      <c r="L28" s="1" t="str">
        <f ca="1">IFERROR(IF(JiO_SIM_Mobile[[#This Row],[Warranty Date]]&lt;TODAY(), "Out of Warranty", IF(JiO_SIM_Mobile[[#This Row],[Warranty Date]]-TODAY()&lt;=30, "Expiring Soon", "In Warranty")),"-")</f>
        <v>Out of Warranty</v>
      </c>
      <c r="M28" s="5">
        <f>IFERROR(IF(JiO_SIM_Mobile[[#This Row],[Purchase Date]]="","NA",EDATE(JiO_SIM_Mobile[[#This Row],[Purchase Date]],12)),"NA")</f>
        <v>45794</v>
      </c>
      <c r="O28" s="6"/>
      <c r="P28" s="6"/>
      <c r="Q28" s="6"/>
      <c r="R28" s="1" t="s">
        <v>21</v>
      </c>
      <c r="S28" s="6"/>
      <c r="T28" s="6"/>
      <c r="U28" s="1" t="s">
        <v>635</v>
      </c>
    </row>
    <row r="29" spans="1:22" ht="20.100000000000001" customHeight="1" x14ac:dyDescent="0.25">
      <c r="A29" s="1">
        <f>ROW()-ROW(JiO_SIM_Mobile[[#Headers],[Sr. No.]])</f>
        <v>28</v>
      </c>
      <c r="B29" s="1">
        <v>9923602891</v>
      </c>
      <c r="C29" s="8">
        <v>0</v>
      </c>
      <c r="D29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-</v>
      </c>
      <c r="E29" s="1" t="s">
        <v>817</v>
      </c>
      <c r="F29" s="1" t="s">
        <v>818</v>
      </c>
      <c r="G29" s="13" t="s">
        <v>819</v>
      </c>
      <c r="I29" s="1" t="s">
        <v>903</v>
      </c>
      <c r="J29" s="1" t="s">
        <v>820</v>
      </c>
      <c r="K29" s="5"/>
      <c r="L29" s="1" t="str">
        <f ca="1">IFERROR(IF(JiO_SIM_Mobile[[#This Row],[Warranty Date]]&lt;TODAY(), "Out of Warranty", IF(JiO_SIM_Mobile[[#This Row],[Warranty Date]]-TODAY()&lt;=30, "Expiring Soon", "In Warranty")),"-")</f>
        <v>-</v>
      </c>
      <c r="M29" s="5" t="str">
        <f>IFERROR(IF(JiO_SIM_Mobile[[#This Row],[Purchase Date]]="","NA",EDATE(JiO_SIM_Mobile[[#This Row],[Purchase Date]],12)),"NA")</f>
        <v>NA</v>
      </c>
      <c r="O29" s="6"/>
      <c r="P29" s="6"/>
      <c r="Q29" s="6"/>
      <c r="S29" s="6"/>
      <c r="T29" s="6"/>
      <c r="U29" s="1" t="s">
        <v>635</v>
      </c>
    </row>
    <row r="30" spans="1:22" ht="20.100000000000001" customHeight="1" x14ac:dyDescent="0.25">
      <c r="A30" s="1">
        <f>ROW()-ROW(JiO_SIM_Mobile[[#Headers],[Sr. No.]])</f>
        <v>29</v>
      </c>
      <c r="B30" s="1">
        <v>9923602892</v>
      </c>
      <c r="C30" s="8">
        <v>22</v>
      </c>
      <c r="D30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Savala Jagannath Kumbhar</v>
      </c>
      <c r="E30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Electrical</v>
      </c>
      <c r="I30" s="1" t="s">
        <v>903</v>
      </c>
      <c r="J30" s="1" t="s">
        <v>821</v>
      </c>
      <c r="K30" s="5">
        <v>45449</v>
      </c>
      <c r="L30" s="1" t="str">
        <f ca="1">IFERROR(IF(JiO_SIM_Mobile[[#This Row],[Warranty Date]]&lt;TODAY(), "Out of Warranty", IF(JiO_SIM_Mobile[[#This Row],[Warranty Date]]-TODAY()&lt;=30, "Expiring Soon", "In Warranty")),"-")</f>
        <v>Out of Warranty</v>
      </c>
      <c r="M30" s="5">
        <f>IFERROR(IF(JiO_SIM_Mobile[[#This Row],[Purchase Date]]="","NA",EDATE(JiO_SIM_Mobile[[#This Row],[Purchase Date]],12)),"NA")</f>
        <v>45814</v>
      </c>
      <c r="O30" s="6"/>
      <c r="P30" s="6"/>
      <c r="Q30" s="6"/>
      <c r="S30" s="6" t="s">
        <v>822</v>
      </c>
      <c r="T30" s="6"/>
      <c r="U30" s="1" t="s">
        <v>635</v>
      </c>
    </row>
    <row r="31" spans="1:22" ht="20.100000000000001" customHeight="1" x14ac:dyDescent="0.25">
      <c r="A31" s="1">
        <f>ROW()-ROW(JiO_SIM_Mobile[[#Headers],[Sr. No.]])</f>
        <v>30</v>
      </c>
      <c r="B31" s="1">
        <v>9923602896</v>
      </c>
      <c r="C31" s="8">
        <v>379</v>
      </c>
      <c r="D31" s="1" t="str">
        <f>IF(JiO_SIM_Mobile[[#This Row],[Employee Code]]=0,"-",IFERROR(IF(INDEX('EMP Info'!$B:$B, MATCH(TEXT(JiO_SIM_Mobile[[#This Row],[Employee Code]],"00000"), 'EMP Info'!$A:$A, 0))=0,"",INDEX('EMP Info'!$B:$B,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Yogesh Laxmaiah Ailolla</v>
      </c>
      <c r="E31" s="1" t="str">
        <f>IF(JiO_SIM_Mobile[[#This Row],[Employee Code]]=0,"-",IFERROR(IF(INDEX('EMP Info'!$C:$C, MATCH(TEXT(JiO_SIM_Mobile[[#This Row],[Employee Code]],"00000"), 'EMP Info'!$A:$A, 0))=0,"",INDEX('EMP Info'!$C:$C, MATCH(TEXT(JiO_SIM_Mobile[[#This Row],[Employee Code]],"00000"), 'EMP Info'!$A:$A, 0))),IFERROR(VLOOKUP(TEXT(JiO_SIM_Mobile[[#This Row],[Employee Code]],"00000"), 'EMP Info'!$A:$D, 2, FALSE) &amp; " (" &amp; VLOOKUP(TEXT(JiO_SIM_Mobile[[#This Row],[Employee Code]],"00000"), 'EMP Info'!$A:$D,4, FALSE) &amp; ")","")))</f>
        <v>Project</v>
      </c>
      <c r="G31" s="1" t="s">
        <v>823</v>
      </c>
      <c r="I31" s="1" t="s">
        <v>903</v>
      </c>
      <c r="J31" s="1" t="s">
        <v>806</v>
      </c>
      <c r="K31" s="5">
        <v>45436</v>
      </c>
      <c r="L31" s="1" t="str">
        <f ca="1">IFERROR(IF(JiO_SIM_Mobile[[#This Row],[Warranty Date]]&lt;TODAY(), "Out of Warranty", IF(JiO_SIM_Mobile[[#This Row],[Warranty Date]]-TODAY()&lt;=30, "Expiring Soon", "In Warranty")),"-")</f>
        <v>Out of Warranty</v>
      </c>
      <c r="M31" s="5">
        <f>IFERROR(IF(JiO_SIM_Mobile[[#This Row],[Purchase Date]]="","NA",EDATE(JiO_SIM_Mobile[[#This Row],[Purchase Date]],12)),"NA")</f>
        <v>45801</v>
      </c>
      <c r="O31" s="6"/>
      <c r="P31" s="6"/>
      <c r="Q31" s="6"/>
      <c r="S31" s="6"/>
      <c r="T31" s="6"/>
      <c r="U31" s="1" t="s">
        <v>635</v>
      </c>
    </row>
  </sheetData>
  <conditionalFormatting sqref="C2:C31">
    <cfRule type="cellIs" dxfId="22" priority="10" operator="equal">
      <formula>0</formula>
    </cfRule>
    <cfRule type="expression" dxfId="21" priority="11">
      <formula>$U2="Deactivated"</formula>
    </cfRule>
    <cfRule type="expression" dxfId="20" priority="12">
      <formula>AND($U2&lt;&gt;"Activated",$U2&lt;&gt;"Deactivated",$U2&lt;&gt;"Inactive")=TRUE</formula>
    </cfRule>
    <cfRule type="expression" dxfId="19" priority="13">
      <formula>$U2="Inactive"</formula>
    </cfRule>
  </conditionalFormatting>
  <conditionalFormatting sqref="D2:Q20 A2:B31 S2:T31 V2:V31 D21:G21 J21:Q21 D22:Q28 D29:F29 H29:Q29 D30:Q31">
    <cfRule type="expression" dxfId="18" priority="25">
      <formula>AND($U2&lt;&gt;"Activated",$U2&lt;&gt;"Deactivated",$U2&lt;&gt;"Inactive")=TRUE</formula>
    </cfRule>
    <cfRule type="expression" dxfId="17" priority="26">
      <formula>$U2="Inactive"</formula>
    </cfRule>
  </conditionalFormatting>
  <conditionalFormatting sqref="D2:Q20 J21:Q21 D22:Q28 H29:Q29 D30:Q31 A2:B31 S2:T31 V2:V31 D21:G21 D29:F29">
    <cfRule type="expression" dxfId="16" priority="24">
      <formula>$U2="Deactivated"</formula>
    </cfRule>
  </conditionalFormatting>
  <conditionalFormatting sqref="G29">
    <cfRule type="expression" dxfId="15" priority="1">
      <formula>$U29="Inactive"</formula>
    </cfRule>
    <cfRule type="expression" dxfId="14" priority="2">
      <formula>AND($U29&lt;&gt;"Activated",$U29&lt;&gt;"Deactivated",$U29&lt;&gt;"Inactive")=TRUE</formula>
    </cfRule>
    <cfRule type="expression" dxfId="13" priority="3">
      <formula>$U29="Deactivated"</formula>
    </cfRule>
  </conditionalFormatting>
  <conditionalFormatting sqref="H21:I21">
    <cfRule type="expression" dxfId="12" priority="4">
      <formula>$U21="Inactive"</formula>
    </cfRule>
    <cfRule type="expression" dxfId="11" priority="5">
      <formula>AND($U21&lt;&gt;"Activated",$U21&lt;&gt;"Deactivated",$U21&lt;&gt;"Inactive")=TRUE</formula>
    </cfRule>
    <cfRule type="expression" dxfId="10" priority="6">
      <formula>$U21="Deactivated"</formula>
    </cfRule>
  </conditionalFormatting>
  <conditionalFormatting sqref="M2:M31">
    <cfRule type="expression" dxfId="9" priority="20">
      <formula>$M2-TODAY()&gt;=30</formula>
    </cfRule>
    <cfRule type="expression" dxfId="8" priority="21">
      <formula>$M2-TODAY()&lt;=29</formula>
    </cfRule>
    <cfRule type="expression" dxfId="7" priority="22">
      <formula>$M2-TODAY()&lt;=14</formula>
    </cfRule>
    <cfRule type="expression" dxfId="6" priority="23">
      <formula>$M2-TODAY()&lt;=1</formula>
    </cfRule>
  </conditionalFormatting>
  <conditionalFormatting sqref="R2:R31">
    <cfRule type="expression" dxfId="5" priority="17">
      <formula>$U2="Deactivated"</formula>
    </cfRule>
    <cfRule type="expression" dxfId="4" priority="18">
      <formula>AND($U2&lt;&gt;"Activated",$U2&lt;&gt;"Deactivated",$U2&lt;&gt;"Inactive")=TRUE</formula>
    </cfRule>
    <cfRule type="expression" dxfId="3" priority="19">
      <formula>$U2="Inactive"</formula>
    </cfRule>
  </conditionalFormatting>
  <conditionalFormatting sqref="U2:U31">
    <cfRule type="expression" dxfId="2" priority="14">
      <formula>$U2="Deactivated"</formula>
    </cfRule>
    <cfRule type="expression" dxfId="1" priority="15">
      <formula>AND($U2&lt;&gt;"Activated",$U2&lt;&gt;"Deactivated",$U2&lt;&gt;"Inactive")=TRUE</formula>
    </cfRule>
    <cfRule type="expression" dxfId="0" priority="16">
      <formula>$U2="Inactive"</formula>
    </cfRule>
  </conditionalFormatting>
  <dataValidations count="3">
    <dataValidation type="list" allowBlank="1" showInputMessage="1" promptTitle="Enter Mobile Expiry Date in" prompt="Enter Mobile Expiry Date in_x000a_dd-MM-YYYY format._x000a__x000a_Select NA if it's Not Applicable" sqref="M2:M31" xr:uid="{08813AC1-226C-438D-A27C-209C34D654B0}">
      <formula1>"NA"</formula1>
    </dataValidation>
    <dataValidation type="list" allowBlank="1" showInputMessage="1" sqref="R2:R31" xr:uid="{B3EA13ED-26A0-4D2D-B8A8-DC47E3F1F6CF}">
      <formula1>INDIRECT("SIMTypes01[SIM Type]")</formula1>
    </dataValidation>
    <dataValidation type="list" allowBlank="1" showInputMessage="1" sqref="U2:U31" xr:uid="{5443AC9F-9B45-4719-9C5D-CF11D979EE1A}">
      <formula1>"Activated,Deactivated,Inactive"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EMP Info</vt:lpstr>
      <vt:lpstr>VI</vt:lpstr>
      <vt:lpstr>JiO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Jairaj Bhogade</dc:creator>
  <cp:lastModifiedBy>Jairaj Bhogade</cp:lastModifiedBy>
  <dcterms:created xsi:type="dcterms:W3CDTF">2025-09-05T08:31:51Z</dcterms:created>
  <dcterms:modified xsi:type="dcterms:W3CDTF">2026-09-07T10:56:51Z</dcterms:modified>
</cp:coreProperties>
</file>